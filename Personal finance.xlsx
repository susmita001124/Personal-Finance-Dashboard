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mc:AlternateContent xmlns:mc="http://schemas.openxmlformats.org/markup-compatibility/2006">
    <mc:Choice Requires="x15">
      <x15ac:absPath xmlns:x15ac="http://schemas.microsoft.com/office/spreadsheetml/2010/11/ac" url="E:\"/>
    </mc:Choice>
  </mc:AlternateContent>
  <xr:revisionPtr revIDLastSave="0" documentId="13_ncr:1_{FDAD253C-FFDF-47E3-984D-B767F610A162}"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ivot Table" sheetId="6" r:id="rId2"/>
    <sheet name="Dashbord" sheetId="11" r:id="rId3"/>
  </sheets>
  <definedNames>
    <definedName name="Slicer_Category">#N/A</definedName>
    <definedName name="Slicer_Months">#N/A</definedName>
    <definedName name="Slicer_Type">#N/A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 l="1"/>
  <c r="G12" i="1"/>
  <c r="H12" i="1"/>
  <c r="I12" i="1"/>
  <c r="B13" i="1"/>
  <c r="G13" i="1"/>
  <c r="H13" i="1"/>
  <c r="I13" i="1"/>
  <c r="B14" i="1"/>
  <c r="G14" i="1"/>
  <c r="H14" i="1"/>
  <c r="I14" i="1"/>
  <c r="B15" i="1"/>
  <c r="G15" i="1"/>
  <c r="H15" i="1"/>
  <c r="I15" i="1"/>
  <c r="B16" i="1"/>
  <c r="G16" i="1"/>
  <c r="H16" i="1"/>
  <c r="I16" i="1"/>
  <c r="B17" i="1"/>
  <c r="G17" i="1"/>
  <c r="H17" i="1"/>
  <c r="I17" i="1"/>
  <c r="B18" i="1"/>
  <c r="G18" i="1"/>
  <c r="H18" i="1"/>
  <c r="I18" i="1"/>
  <c r="B19" i="1"/>
  <c r="G19" i="1"/>
  <c r="H19" i="1"/>
  <c r="I19" i="1"/>
  <c r="B20" i="1"/>
  <c r="G20" i="1"/>
  <c r="H20" i="1"/>
  <c r="I20" i="1"/>
  <c r="B21" i="1"/>
  <c r="G21" i="1"/>
  <c r="H21" i="1"/>
  <c r="I21" i="1"/>
  <c r="B22" i="1"/>
  <c r="G22" i="1"/>
  <c r="H22" i="1"/>
  <c r="I22" i="1"/>
  <c r="B23" i="1"/>
  <c r="G23" i="1"/>
  <c r="H23" i="1"/>
  <c r="I23" i="1"/>
  <c r="B24" i="1"/>
  <c r="G24" i="1"/>
  <c r="H24" i="1"/>
  <c r="I24" i="1"/>
  <c r="B25" i="1"/>
  <c r="G25" i="1"/>
  <c r="H25" i="1"/>
  <c r="I25" i="1"/>
  <c r="B26" i="1"/>
  <c r="G26" i="1"/>
  <c r="H26" i="1"/>
  <c r="I26" i="1"/>
  <c r="B27" i="1"/>
  <c r="G27" i="1"/>
  <c r="H27" i="1"/>
  <c r="I27" i="1"/>
  <c r="B28" i="1"/>
  <c r="G28" i="1"/>
  <c r="H28" i="1"/>
  <c r="I28" i="1"/>
  <c r="B29" i="1"/>
  <c r="G29" i="1"/>
  <c r="H29" i="1"/>
  <c r="I29" i="1"/>
  <c r="B30" i="1"/>
  <c r="G30" i="1"/>
  <c r="H30" i="1"/>
  <c r="I30" i="1"/>
  <c r="B31" i="1"/>
  <c r="G31" i="1"/>
  <c r="H31" i="1"/>
  <c r="I31" i="1"/>
  <c r="B32" i="1"/>
  <c r="G32" i="1"/>
  <c r="H32" i="1"/>
  <c r="I32" i="1"/>
  <c r="B33" i="1"/>
  <c r="G33" i="1"/>
  <c r="H33" i="1"/>
  <c r="I33" i="1"/>
  <c r="B34" i="1"/>
  <c r="G34" i="1"/>
  <c r="H34" i="1"/>
  <c r="I34" i="1"/>
  <c r="B35" i="1"/>
  <c r="G35" i="1"/>
  <c r="H35" i="1"/>
  <c r="I35" i="1"/>
  <c r="B36" i="1"/>
  <c r="G36" i="1"/>
  <c r="H36" i="1"/>
  <c r="I36" i="1"/>
  <c r="B37" i="1"/>
  <c r="G37" i="1"/>
  <c r="H37" i="1"/>
  <c r="I37" i="1"/>
  <c r="B38" i="1"/>
  <c r="G38" i="1"/>
  <c r="H38" i="1"/>
  <c r="I38" i="1"/>
  <c r="B39" i="1"/>
  <c r="G39" i="1"/>
  <c r="H39" i="1"/>
  <c r="I39" i="1"/>
  <c r="B40" i="1"/>
  <c r="G40" i="1"/>
  <c r="H40" i="1"/>
  <c r="I40" i="1"/>
  <c r="B41" i="1"/>
  <c r="G41" i="1"/>
  <c r="H41" i="1"/>
  <c r="I41" i="1"/>
  <c r="B42" i="1"/>
  <c r="G42" i="1"/>
  <c r="H42" i="1"/>
  <c r="I42" i="1"/>
  <c r="B43" i="1"/>
  <c r="G43" i="1"/>
  <c r="H43" i="1"/>
  <c r="I43" i="1"/>
  <c r="B44" i="1"/>
  <c r="G44" i="1"/>
  <c r="H44" i="1"/>
  <c r="I44" i="1"/>
  <c r="B45" i="1"/>
  <c r="G45" i="1"/>
  <c r="H45" i="1"/>
  <c r="I45" i="1"/>
  <c r="B46" i="1"/>
  <c r="G46" i="1"/>
  <c r="H46" i="1"/>
  <c r="I46" i="1"/>
  <c r="B47" i="1"/>
  <c r="G47" i="1"/>
  <c r="H47" i="1"/>
  <c r="I47" i="1"/>
  <c r="B48" i="1"/>
  <c r="G48" i="1"/>
  <c r="H48" i="1"/>
  <c r="I48" i="1"/>
  <c r="B49" i="1"/>
  <c r="G49" i="1"/>
  <c r="H49" i="1"/>
  <c r="I49" i="1"/>
  <c r="B50" i="1"/>
  <c r="G50" i="1"/>
  <c r="H50" i="1"/>
  <c r="I50" i="1"/>
  <c r="B51" i="1"/>
  <c r="G51" i="1"/>
  <c r="H51" i="1"/>
  <c r="I51" i="1"/>
  <c r="B52" i="1"/>
  <c r="G52" i="1"/>
  <c r="H52" i="1"/>
  <c r="I52" i="1"/>
  <c r="B53" i="1"/>
  <c r="G53" i="1"/>
  <c r="H53" i="1"/>
  <c r="I53" i="1"/>
  <c r="B54" i="1"/>
  <c r="G54" i="1"/>
  <c r="H54" i="1"/>
  <c r="I54" i="1"/>
  <c r="B55" i="1"/>
  <c r="G55" i="1"/>
  <c r="H55" i="1"/>
  <c r="I55" i="1"/>
  <c r="B56" i="1"/>
  <c r="G56" i="1"/>
  <c r="H56" i="1"/>
  <c r="I56" i="1"/>
  <c r="B57" i="1"/>
  <c r="G57" i="1"/>
  <c r="H57" i="1"/>
  <c r="I57" i="1"/>
  <c r="B58" i="1"/>
  <c r="G58" i="1"/>
  <c r="H58" i="1"/>
  <c r="I58" i="1"/>
  <c r="B59" i="1"/>
  <c r="G59" i="1"/>
  <c r="H59" i="1"/>
  <c r="I59" i="1"/>
  <c r="B60" i="1"/>
  <c r="G60" i="1"/>
  <c r="H60" i="1"/>
  <c r="I60" i="1"/>
  <c r="B61" i="1"/>
  <c r="G61" i="1"/>
  <c r="H61" i="1"/>
  <c r="I61" i="1"/>
  <c r="B62" i="1"/>
  <c r="G62" i="1"/>
  <c r="H62" i="1"/>
  <c r="I62" i="1"/>
  <c r="B63" i="1"/>
  <c r="G63" i="1"/>
  <c r="H63" i="1"/>
  <c r="I63" i="1"/>
  <c r="B64" i="1"/>
  <c r="G64" i="1"/>
  <c r="H64" i="1"/>
  <c r="I64" i="1"/>
  <c r="B65" i="1"/>
  <c r="G65" i="1"/>
  <c r="H65" i="1"/>
  <c r="I65" i="1"/>
  <c r="B66" i="1"/>
  <c r="G66" i="1"/>
  <c r="H66" i="1"/>
  <c r="I66" i="1"/>
  <c r="B67" i="1"/>
  <c r="G67" i="1"/>
  <c r="H67" i="1"/>
  <c r="I67" i="1"/>
  <c r="B68" i="1"/>
  <c r="G68" i="1"/>
  <c r="H68" i="1"/>
  <c r="I68" i="1"/>
  <c r="B69" i="1"/>
  <c r="G69" i="1"/>
  <c r="H69" i="1"/>
  <c r="I69" i="1"/>
  <c r="B70" i="1"/>
  <c r="G70" i="1"/>
  <c r="H70" i="1"/>
  <c r="I70" i="1"/>
  <c r="B71" i="1"/>
  <c r="G71" i="1"/>
  <c r="H71" i="1"/>
  <c r="I71" i="1"/>
  <c r="B72" i="1"/>
  <c r="G72" i="1"/>
  <c r="H72" i="1"/>
  <c r="I72" i="1"/>
  <c r="B73" i="1"/>
  <c r="G73" i="1"/>
  <c r="H73" i="1"/>
  <c r="I73" i="1"/>
  <c r="B74" i="1"/>
  <c r="G74" i="1"/>
  <c r="H74" i="1"/>
  <c r="I74" i="1"/>
  <c r="B75" i="1"/>
  <c r="G75" i="1"/>
  <c r="H75" i="1"/>
  <c r="I75" i="1"/>
  <c r="B76" i="1"/>
  <c r="G76" i="1"/>
  <c r="H76" i="1"/>
  <c r="I76" i="1"/>
  <c r="B77" i="1"/>
  <c r="G77" i="1"/>
  <c r="H77" i="1"/>
  <c r="I77" i="1"/>
  <c r="B78" i="1"/>
  <c r="G78" i="1"/>
  <c r="H78" i="1"/>
  <c r="I78" i="1"/>
  <c r="B79" i="1"/>
  <c r="G79" i="1"/>
  <c r="H79" i="1"/>
  <c r="I79" i="1"/>
  <c r="B80" i="1"/>
  <c r="G80" i="1"/>
  <c r="H80" i="1"/>
  <c r="I80" i="1"/>
  <c r="B81" i="1"/>
  <c r="G81" i="1"/>
  <c r="H81" i="1"/>
  <c r="I81" i="1"/>
  <c r="B82" i="1"/>
  <c r="G82" i="1"/>
  <c r="H82" i="1"/>
  <c r="I82" i="1"/>
  <c r="B83" i="1"/>
  <c r="G83" i="1"/>
  <c r="H83" i="1"/>
  <c r="I83" i="1"/>
  <c r="B84" i="1"/>
  <c r="G84" i="1"/>
  <c r="H84" i="1"/>
  <c r="I84" i="1"/>
  <c r="B85" i="1"/>
  <c r="G85" i="1"/>
  <c r="H85" i="1"/>
  <c r="I85" i="1"/>
  <c r="B86" i="1"/>
  <c r="G86" i="1"/>
  <c r="H86" i="1"/>
  <c r="I86" i="1"/>
  <c r="B87" i="1"/>
  <c r="G87" i="1"/>
  <c r="H87" i="1"/>
  <c r="I87" i="1"/>
  <c r="B88" i="1"/>
  <c r="G88" i="1"/>
  <c r="H88" i="1"/>
  <c r="I88" i="1"/>
  <c r="B89" i="1"/>
  <c r="G89" i="1"/>
  <c r="H89" i="1"/>
  <c r="I89" i="1"/>
  <c r="B90" i="1"/>
  <c r="G90" i="1"/>
  <c r="H90" i="1"/>
  <c r="I90" i="1"/>
  <c r="B91" i="1"/>
  <c r="G91" i="1"/>
  <c r="H91" i="1"/>
  <c r="I91" i="1"/>
  <c r="B92" i="1"/>
  <c r="G92" i="1"/>
  <c r="H92" i="1"/>
  <c r="I92" i="1"/>
  <c r="B93" i="1"/>
  <c r="G93" i="1"/>
  <c r="H93" i="1"/>
  <c r="I93" i="1"/>
  <c r="B94" i="1"/>
  <c r="G94" i="1"/>
  <c r="H94" i="1"/>
  <c r="I94" i="1"/>
  <c r="B95" i="1"/>
  <c r="G95" i="1"/>
  <c r="H95" i="1"/>
  <c r="I95" i="1"/>
  <c r="B96" i="1"/>
  <c r="G96" i="1"/>
  <c r="H96" i="1"/>
  <c r="I96" i="1"/>
  <c r="B97" i="1"/>
  <c r="G97" i="1"/>
  <c r="H97" i="1"/>
  <c r="I97" i="1"/>
  <c r="B98" i="1"/>
  <c r="G98" i="1"/>
  <c r="H98" i="1"/>
  <c r="I98" i="1"/>
  <c r="B99" i="1"/>
  <c r="G99" i="1"/>
  <c r="H99" i="1"/>
  <c r="I99" i="1"/>
  <c r="B100" i="1"/>
  <c r="G100" i="1"/>
  <c r="H100" i="1"/>
  <c r="I100" i="1"/>
  <c r="B101" i="1"/>
  <c r="G101" i="1"/>
  <c r="H101" i="1"/>
  <c r="I101" i="1"/>
  <c r="B102" i="1"/>
  <c r="G102" i="1"/>
  <c r="H102" i="1"/>
  <c r="I102" i="1"/>
  <c r="B103" i="1"/>
  <c r="G103" i="1"/>
  <c r="H103" i="1"/>
  <c r="I103" i="1"/>
  <c r="B104" i="1"/>
  <c r="G104" i="1"/>
  <c r="H104" i="1"/>
  <c r="I104" i="1"/>
  <c r="B105" i="1"/>
  <c r="G105" i="1"/>
  <c r="H105" i="1"/>
  <c r="I105" i="1"/>
  <c r="B106" i="1"/>
  <c r="G106" i="1"/>
  <c r="H106" i="1"/>
  <c r="I106" i="1"/>
  <c r="B107" i="1"/>
  <c r="G107" i="1"/>
  <c r="H107" i="1"/>
  <c r="I107" i="1"/>
  <c r="B108" i="1"/>
  <c r="G108" i="1"/>
  <c r="H108" i="1"/>
  <c r="I108" i="1"/>
  <c r="B109" i="1"/>
  <c r="G109" i="1"/>
  <c r="H109" i="1"/>
  <c r="I109" i="1"/>
  <c r="B110" i="1"/>
  <c r="G110" i="1"/>
  <c r="H110" i="1"/>
  <c r="I110" i="1"/>
  <c r="B111" i="1"/>
  <c r="G111" i="1"/>
  <c r="H111" i="1"/>
  <c r="I111" i="1"/>
  <c r="B112" i="1"/>
  <c r="G112" i="1"/>
  <c r="H112" i="1"/>
  <c r="I112" i="1"/>
  <c r="B113" i="1"/>
  <c r="G113" i="1"/>
  <c r="H113" i="1"/>
  <c r="I113" i="1"/>
  <c r="B114" i="1"/>
  <c r="G114" i="1"/>
  <c r="H114" i="1"/>
  <c r="I114" i="1"/>
  <c r="B115" i="1"/>
  <c r="G115" i="1"/>
  <c r="H115" i="1"/>
  <c r="I115" i="1"/>
  <c r="B116" i="1"/>
  <c r="G116" i="1"/>
  <c r="H116" i="1"/>
  <c r="I116" i="1"/>
  <c r="B117" i="1"/>
  <c r="G117" i="1"/>
  <c r="H117" i="1"/>
  <c r="I117" i="1"/>
  <c r="B118" i="1"/>
  <c r="G118" i="1"/>
  <c r="H118" i="1"/>
  <c r="I118" i="1"/>
  <c r="B119" i="1"/>
  <c r="G119" i="1"/>
  <c r="H119" i="1"/>
  <c r="I119" i="1"/>
  <c r="B120" i="1"/>
  <c r="G120" i="1"/>
  <c r="H120" i="1"/>
  <c r="I120" i="1"/>
  <c r="B121" i="1"/>
  <c r="G121" i="1"/>
  <c r="H121" i="1"/>
  <c r="I121" i="1"/>
  <c r="B122" i="1"/>
  <c r="G122" i="1"/>
  <c r="H122" i="1"/>
  <c r="I122" i="1"/>
  <c r="B123" i="1"/>
  <c r="G123" i="1"/>
  <c r="H123" i="1"/>
  <c r="I123" i="1"/>
  <c r="B124" i="1"/>
  <c r="G124" i="1"/>
  <c r="H124" i="1"/>
  <c r="I124" i="1"/>
  <c r="B125" i="1"/>
  <c r="G125" i="1"/>
  <c r="H125" i="1"/>
  <c r="I125" i="1"/>
  <c r="B126" i="1"/>
  <c r="G126" i="1"/>
  <c r="H126" i="1"/>
  <c r="I126" i="1"/>
  <c r="B127" i="1"/>
  <c r="G127" i="1"/>
  <c r="H127" i="1"/>
  <c r="I127" i="1"/>
  <c r="B128" i="1"/>
  <c r="G128" i="1"/>
  <c r="H128" i="1"/>
  <c r="I128" i="1"/>
  <c r="B129" i="1"/>
  <c r="G129" i="1"/>
  <c r="H129" i="1"/>
  <c r="I129" i="1"/>
  <c r="B130" i="1"/>
  <c r="G130" i="1"/>
  <c r="H130" i="1"/>
  <c r="I130" i="1"/>
  <c r="B131" i="1"/>
  <c r="G131" i="1"/>
  <c r="H131" i="1"/>
  <c r="I131" i="1"/>
  <c r="B132" i="1"/>
  <c r="G132" i="1"/>
  <c r="H132" i="1"/>
  <c r="I132" i="1"/>
  <c r="B133" i="1"/>
  <c r="G133" i="1"/>
  <c r="H133" i="1"/>
  <c r="I133" i="1"/>
  <c r="B134" i="1"/>
  <c r="G134" i="1"/>
  <c r="H134" i="1"/>
  <c r="I134" i="1"/>
  <c r="B135" i="1"/>
  <c r="G135" i="1"/>
  <c r="H135" i="1"/>
  <c r="I135" i="1"/>
  <c r="B136" i="1"/>
  <c r="G136" i="1"/>
  <c r="H136" i="1"/>
  <c r="I136" i="1"/>
  <c r="B137" i="1"/>
  <c r="G137" i="1"/>
  <c r="H137" i="1"/>
  <c r="I137" i="1"/>
  <c r="B138" i="1"/>
  <c r="G138" i="1"/>
  <c r="H138" i="1"/>
  <c r="I138" i="1"/>
  <c r="B139" i="1"/>
  <c r="G139" i="1"/>
  <c r="H139" i="1"/>
  <c r="I139" i="1"/>
  <c r="B140" i="1"/>
  <c r="G140" i="1"/>
  <c r="H140" i="1"/>
  <c r="I140" i="1"/>
  <c r="B141" i="1"/>
  <c r="G141" i="1"/>
  <c r="H141" i="1"/>
  <c r="I141" i="1"/>
  <c r="B142" i="1"/>
  <c r="G142" i="1"/>
  <c r="H142" i="1"/>
  <c r="I142" i="1"/>
  <c r="B143" i="1"/>
  <c r="G143" i="1"/>
  <c r="H143" i="1"/>
  <c r="I143" i="1"/>
  <c r="B144" i="1"/>
  <c r="G144" i="1"/>
  <c r="H144" i="1"/>
  <c r="I144" i="1"/>
  <c r="B145" i="1"/>
  <c r="G145" i="1"/>
  <c r="H145" i="1"/>
  <c r="I145" i="1"/>
  <c r="B146" i="1"/>
  <c r="G146" i="1"/>
  <c r="H146" i="1"/>
  <c r="I146" i="1"/>
  <c r="B147" i="1"/>
  <c r="G147" i="1"/>
  <c r="H147" i="1"/>
  <c r="I147" i="1"/>
  <c r="B148" i="1"/>
  <c r="G148" i="1"/>
  <c r="H148" i="1"/>
  <c r="I148" i="1"/>
  <c r="B149" i="1"/>
  <c r="G149" i="1"/>
  <c r="H149" i="1"/>
  <c r="I149" i="1"/>
  <c r="B150" i="1"/>
  <c r="G150" i="1"/>
  <c r="H150" i="1"/>
  <c r="I150" i="1"/>
  <c r="B151" i="1"/>
  <c r="G151" i="1"/>
  <c r="H151" i="1"/>
  <c r="I151" i="1"/>
  <c r="B152" i="1"/>
  <c r="G152" i="1"/>
  <c r="H152" i="1"/>
  <c r="I152" i="1"/>
  <c r="B153" i="1"/>
  <c r="G153" i="1"/>
  <c r="H153" i="1"/>
  <c r="I153" i="1"/>
  <c r="B154" i="1"/>
  <c r="G154" i="1"/>
  <c r="H154" i="1"/>
  <c r="I154" i="1"/>
  <c r="B155" i="1"/>
  <c r="G155" i="1"/>
  <c r="H155" i="1"/>
  <c r="I155" i="1"/>
  <c r="B156" i="1"/>
  <c r="G156" i="1"/>
  <c r="H156" i="1"/>
  <c r="I156" i="1"/>
  <c r="B157" i="1"/>
  <c r="G157" i="1"/>
  <c r="H157" i="1"/>
  <c r="I157" i="1"/>
  <c r="B158" i="1"/>
  <c r="G158" i="1"/>
  <c r="H158" i="1"/>
  <c r="I158" i="1"/>
  <c r="B159" i="1"/>
  <c r="G159" i="1"/>
  <c r="H159" i="1"/>
  <c r="I159" i="1"/>
  <c r="B160" i="1"/>
  <c r="G160" i="1"/>
  <c r="H160" i="1"/>
  <c r="I160" i="1"/>
  <c r="B161" i="1"/>
  <c r="G161" i="1"/>
  <c r="H161" i="1"/>
  <c r="I161" i="1"/>
  <c r="B162" i="1"/>
  <c r="G162" i="1"/>
  <c r="H162" i="1"/>
  <c r="I162" i="1"/>
  <c r="B163" i="1"/>
  <c r="G163" i="1"/>
  <c r="H163" i="1"/>
  <c r="I163" i="1"/>
  <c r="B164" i="1"/>
  <c r="G164" i="1"/>
  <c r="H164" i="1"/>
  <c r="I164" i="1"/>
  <c r="B165" i="1"/>
  <c r="G165" i="1"/>
  <c r="H165" i="1"/>
  <c r="I165" i="1"/>
  <c r="B166" i="1"/>
  <c r="G166" i="1"/>
  <c r="H166" i="1"/>
  <c r="I166" i="1"/>
  <c r="B167" i="1"/>
  <c r="G167" i="1"/>
  <c r="H167" i="1"/>
  <c r="I167" i="1"/>
  <c r="B168" i="1"/>
  <c r="G168" i="1"/>
  <c r="H168" i="1"/>
  <c r="I168" i="1"/>
  <c r="B169" i="1"/>
  <c r="G169" i="1"/>
  <c r="H169" i="1"/>
  <c r="I169" i="1"/>
  <c r="B170" i="1"/>
  <c r="G170" i="1"/>
  <c r="H170" i="1"/>
  <c r="I170" i="1"/>
  <c r="B171" i="1"/>
  <c r="G171" i="1"/>
  <c r="H171" i="1"/>
  <c r="I171" i="1"/>
  <c r="B172" i="1"/>
  <c r="G172" i="1"/>
  <c r="H172" i="1"/>
  <c r="I172" i="1"/>
  <c r="B173" i="1"/>
  <c r="G173" i="1"/>
  <c r="H173" i="1"/>
  <c r="I173" i="1"/>
  <c r="B174" i="1"/>
  <c r="G174" i="1"/>
  <c r="H174" i="1"/>
  <c r="I174" i="1"/>
  <c r="B175" i="1"/>
  <c r="G175" i="1"/>
  <c r="H175" i="1"/>
  <c r="I175" i="1"/>
  <c r="B176" i="1"/>
  <c r="G176" i="1"/>
  <c r="H176" i="1"/>
  <c r="I176" i="1"/>
  <c r="B177" i="1"/>
  <c r="G177" i="1"/>
  <c r="H177" i="1"/>
  <c r="I177" i="1"/>
  <c r="B178" i="1"/>
  <c r="G178" i="1"/>
  <c r="H178" i="1"/>
  <c r="I178" i="1"/>
  <c r="B179" i="1"/>
  <c r="G179" i="1"/>
  <c r="H179" i="1"/>
  <c r="I179" i="1"/>
  <c r="B180" i="1"/>
  <c r="G180" i="1"/>
  <c r="H180" i="1"/>
  <c r="I180" i="1"/>
  <c r="B181" i="1"/>
  <c r="G181" i="1"/>
  <c r="H181" i="1"/>
  <c r="I181" i="1"/>
  <c r="B182" i="1"/>
  <c r="G182" i="1"/>
  <c r="H182" i="1"/>
  <c r="I182" i="1"/>
  <c r="B183" i="1"/>
  <c r="G183" i="1"/>
  <c r="H183" i="1"/>
  <c r="I183" i="1"/>
  <c r="B184" i="1"/>
  <c r="G184" i="1"/>
  <c r="H184" i="1"/>
  <c r="I184" i="1"/>
  <c r="B185" i="1"/>
  <c r="G185" i="1"/>
  <c r="H185" i="1"/>
  <c r="I185" i="1"/>
  <c r="B186" i="1"/>
  <c r="G186" i="1"/>
  <c r="H186" i="1"/>
  <c r="I186" i="1"/>
  <c r="B187" i="1"/>
  <c r="G187" i="1"/>
  <c r="H187" i="1"/>
  <c r="I187" i="1"/>
  <c r="B188" i="1"/>
  <c r="G188" i="1"/>
  <c r="H188" i="1"/>
  <c r="I188" i="1"/>
  <c r="B189" i="1"/>
  <c r="G189" i="1"/>
  <c r="H189" i="1"/>
  <c r="I189" i="1"/>
  <c r="B190" i="1"/>
  <c r="G190" i="1"/>
  <c r="H190" i="1"/>
  <c r="I190" i="1"/>
  <c r="B191" i="1"/>
  <c r="G191" i="1"/>
  <c r="H191" i="1"/>
  <c r="I191" i="1"/>
  <c r="B192" i="1"/>
  <c r="G192" i="1"/>
  <c r="H192" i="1"/>
  <c r="I192" i="1"/>
  <c r="B193" i="1"/>
  <c r="G193" i="1"/>
  <c r="H193" i="1"/>
  <c r="I193" i="1"/>
  <c r="B194" i="1"/>
  <c r="G194" i="1"/>
  <c r="H194" i="1"/>
  <c r="I194" i="1"/>
  <c r="B195" i="1"/>
  <c r="G195" i="1"/>
  <c r="H195" i="1"/>
  <c r="I195" i="1"/>
  <c r="B196" i="1"/>
  <c r="G196" i="1"/>
  <c r="H196" i="1"/>
  <c r="I196" i="1"/>
  <c r="B197" i="1"/>
  <c r="G197" i="1"/>
  <c r="H197" i="1"/>
  <c r="I197" i="1"/>
  <c r="B198" i="1"/>
  <c r="G198" i="1"/>
  <c r="H198" i="1"/>
  <c r="I198" i="1"/>
  <c r="B199" i="1"/>
  <c r="G199" i="1"/>
  <c r="H199" i="1"/>
  <c r="I199" i="1"/>
  <c r="B200" i="1"/>
  <c r="G200" i="1"/>
  <c r="H200" i="1"/>
  <c r="I200" i="1"/>
  <c r="B201" i="1"/>
  <c r="G201" i="1"/>
  <c r="H201" i="1"/>
  <c r="I201" i="1"/>
  <c r="B2" i="1"/>
  <c r="H2" i="1"/>
  <c r="G2" i="1"/>
  <c r="B3" i="1"/>
  <c r="B4" i="1"/>
  <c r="B5" i="1"/>
  <c r="B6" i="1"/>
  <c r="B7" i="1"/>
  <c r="B8" i="1"/>
  <c r="B9" i="1"/>
  <c r="B10" i="1"/>
  <c r="B11" i="1"/>
  <c r="L2" i="1"/>
  <c r="L1" i="1"/>
  <c r="H3" i="1"/>
  <c r="H4" i="1"/>
  <c r="H5" i="1"/>
  <c r="H6" i="1"/>
  <c r="H7" i="1"/>
  <c r="H8" i="1"/>
  <c r="H9" i="1"/>
  <c r="H10" i="1"/>
  <c r="H11" i="1"/>
  <c r="G3" i="1"/>
  <c r="G4" i="1"/>
  <c r="G5" i="1"/>
  <c r="G6" i="1"/>
  <c r="G7" i="1"/>
  <c r="G8" i="1"/>
  <c r="G9" i="1"/>
  <c r="G10" i="1"/>
  <c r="G11" i="1"/>
  <c r="L144" i="1" l="1"/>
  <c r="L3" i="1"/>
  <c r="L143" i="1" s="1"/>
  <c r="I2" i="1"/>
  <c r="I6" i="1" l="1"/>
  <c r="I3" i="1"/>
  <c r="I8" i="1"/>
  <c r="I9" i="1"/>
  <c r="I10" i="1"/>
  <c r="I5" i="1"/>
  <c r="I11" i="1"/>
  <c r="I4" i="1"/>
  <c r="I7" i="1"/>
</calcChain>
</file>

<file path=xl/sharedStrings.xml><?xml version="1.0" encoding="utf-8"?>
<sst xmlns="http://schemas.openxmlformats.org/spreadsheetml/2006/main" count="670" uniqueCount="71">
  <si>
    <t>Date</t>
  </si>
  <si>
    <t>Category</t>
  </si>
  <si>
    <t>Description</t>
  </si>
  <si>
    <t>Amount</t>
  </si>
  <si>
    <t>Type</t>
  </si>
  <si>
    <t>Education</t>
  </si>
  <si>
    <t>Books</t>
  </si>
  <si>
    <t>Expense</t>
  </si>
  <si>
    <t>Healthcare</t>
  </si>
  <si>
    <t>Doctor Visit</t>
  </si>
  <si>
    <t>Income</t>
  </si>
  <si>
    <t>Tuition</t>
  </si>
  <si>
    <t>Freelancing</t>
  </si>
  <si>
    <t>Entertainment</t>
  </si>
  <si>
    <t>Gaming</t>
  </si>
  <si>
    <t>Bills</t>
  </si>
  <si>
    <t>Mobile Recharge</t>
  </si>
  <si>
    <t>Scholarship</t>
  </si>
  <si>
    <t>Food</t>
  </si>
  <si>
    <t>Coffee</t>
  </si>
  <si>
    <t>Transport</t>
  </si>
  <si>
    <t>Train Ticket</t>
  </si>
  <si>
    <t>Stationery</t>
  </si>
  <si>
    <t>Movie</t>
  </si>
  <si>
    <t>Rickshaw</t>
  </si>
  <si>
    <t>Burger</t>
  </si>
  <si>
    <t>Salary</t>
  </si>
  <si>
    <t>Electricity Bill</t>
  </si>
  <si>
    <t>Gift</t>
  </si>
  <si>
    <t>Snacks</t>
  </si>
  <si>
    <t>Netflix</t>
  </si>
  <si>
    <t>Medicine</t>
  </si>
  <si>
    <t>Bus Fare</t>
  </si>
  <si>
    <t>Uber</t>
  </si>
  <si>
    <t>Dinner</t>
  </si>
  <si>
    <t>Lunch</t>
  </si>
  <si>
    <t>Shopping</t>
  </si>
  <si>
    <t>Accessories</t>
  </si>
  <si>
    <t>Clothes</t>
  </si>
  <si>
    <t>Course Fee</t>
  </si>
  <si>
    <t>Internet Bill</t>
  </si>
  <si>
    <t>Shoes</t>
  </si>
  <si>
    <t>Cosmetics</t>
  </si>
  <si>
    <t xml:space="preserve">Total Income </t>
  </si>
  <si>
    <t>Total Expense</t>
  </si>
  <si>
    <t>Total savings</t>
  </si>
  <si>
    <t>Row Labels</t>
  </si>
  <si>
    <t>Grand Total</t>
  </si>
  <si>
    <t>Sum of Amount</t>
  </si>
  <si>
    <t>Column Labels</t>
  </si>
  <si>
    <t>Months</t>
  </si>
  <si>
    <t>Jan</t>
  </si>
  <si>
    <t>Feb</t>
  </si>
  <si>
    <t>Mar</t>
  </si>
  <si>
    <t>Apr</t>
  </si>
  <si>
    <t>May</t>
  </si>
  <si>
    <t>Jun</t>
  </si>
  <si>
    <t>Jul</t>
  </si>
  <si>
    <t>Aug</t>
  </si>
  <si>
    <t>Sep</t>
  </si>
  <si>
    <t>Oct</t>
  </si>
  <si>
    <t>Nov</t>
  </si>
  <si>
    <t>Dec</t>
  </si>
  <si>
    <t>Expense by category</t>
  </si>
  <si>
    <t>Savings</t>
  </si>
  <si>
    <t>Expenses</t>
  </si>
  <si>
    <t>Sum of Savings</t>
  </si>
  <si>
    <t>Monthly Income Vs Expenses</t>
  </si>
  <si>
    <t>Savings rate</t>
  </si>
  <si>
    <t>Average expense</t>
  </si>
  <si>
    <t>Savings By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</si>
</sst>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BDT]\ * #,##0.00_);_([$BDT]\ * \(#,##0.00\);_([$BDT]\ * &quot;-&quot;??_);_(@_)"/>
  </numFmts>
  <fonts count="7" x14ac:knownFonts="1">
    <font>
      <sz val="11"/>
      <color theme="1"/>
      <name val="Calibri"/>
      <family val="2"/>
      <scheme val="minor"/>
    </font>
    <font>
      <b/>
      <sz val="11"/>
      <name val="Calibri"/>
      <family val="2"/>
    </font>
    <font>
      <b/>
      <sz val="11"/>
      <name val="Calibri"/>
      <family val="2"/>
    </font>
    <font>
      <sz val="1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3" tint="0.39997558519241921"/>
        <bgColor indexed="64"/>
      </patternFill>
    </fill>
    <fill>
      <patternFill patternType="solid">
        <fgColor theme="3" tint="0.7999816888943144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5" fontId="0" fillId="0" borderId="0" xfId="0" applyNumberFormat="1"/>
    <xf numFmtId="164" fontId="0" fillId="0" borderId="0" xfId="0" applyNumberFormat="1"/>
    <xf numFmtId="0" fontId="0" fillId="3" borderId="1" xfId="0" applyFill="1" applyBorder="1"/>
    <xf numFmtId="0" fontId="1" fillId="4" borderId="0" xfId="0" applyFont="1" applyFill="1"/>
    <xf numFmtId="0" fontId="2" fillId="4" borderId="0" xfId="0" applyFont="1" applyFill="1"/>
    <xf numFmtId="0" fontId="3" fillId="4" borderId="0" xfId="0" applyFont="1" applyFill="1"/>
    <xf numFmtId="0" fontId="5" fillId="0" borderId="0" xfId="0" applyFont="1"/>
    <xf numFmtId="0" fontId="5" fillId="5" borderId="0" xfId="0" applyFont="1" applyFill="1"/>
    <xf numFmtId="164" fontId="5" fillId="5" borderId="0" xfId="0" applyNumberFormat="1" applyFont="1" applyFill="1"/>
    <xf numFmtId="9" fontId="5" fillId="5" borderId="0" xfId="1" applyFont="1" applyFill="1"/>
    <xf numFmtId="0" fontId="6" fillId="2" borderId="0" xfId="0" applyFont="1" applyFill="1" applyAlignment="1">
      <alignment horizontal="center"/>
    </xf>
  </cellXfs>
  <cellStyles count="2">
    <cellStyle name="Normal" xfId="0" builtinId="0"/>
    <cellStyle name="Percent" xfId="1" builtinId="5"/>
  </cellStyles>
  <dxfs count="13">
    <dxf>
      <numFmt numFmtId="164" formatCode="_([$BDT]\ * #,##0.00_);_([$BDT]\ * \(#,##0.00\);_([$BDT]\ * &quot;-&quot;??_);_(@_)"/>
    </dxf>
    <dxf>
      <numFmt numFmtId="164" formatCode="_([$BDT]\ * #,##0.00_);_([$BDT]\ * \(#,##0.00\);_([$BDT]\ * &quot;-&quot;??_);_(@_)"/>
    </dxf>
    <dxf>
      <numFmt numFmtId="164" formatCode="_([$BDT]\ * #,##0.00_);_([$BDT]\ * \(#,##0.00\);_([$BDT]\ * &quot;-&quot;??_);_(@_)"/>
    </dxf>
    <dxf>
      <numFmt numFmtId="0" formatCode="General"/>
    </dxf>
    <dxf>
      <numFmt numFmtId="0" formatCode="General"/>
    </dxf>
    <dxf>
      <border outline="0">
        <left style="thin">
          <color theme="0"/>
        </left>
      </border>
    </dxf>
    <dxf>
      <font>
        <strike val="0"/>
        <outline val="0"/>
        <shadow val="0"/>
        <u val="none"/>
        <vertAlign val="baseline"/>
        <sz val="11"/>
        <color auto="1"/>
        <name val="Calibri"/>
        <family val="2"/>
        <scheme val="minor"/>
      </font>
      <fill>
        <patternFill patternType="solid">
          <fgColor indexed="64"/>
          <bgColor theme="3" tint="0.39997558519241921"/>
        </patternFill>
      </fill>
    </dxf>
    <dxf>
      <numFmt numFmtId="20" formatCode="d\-mmm\-yy"/>
    </dxf>
    <dxf>
      <font>
        <b/>
        <i val="0"/>
        <strike val="0"/>
        <condense val="0"/>
        <extend val="0"/>
        <outline val="0"/>
        <shadow val="0"/>
        <u val="none"/>
        <vertAlign val="baseline"/>
        <sz val="11"/>
        <color auto="1"/>
        <name val="Calibri"/>
        <scheme val="none"/>
      </font>
      <fill>
        <patternFill patternType="solid">
          <fgColor indexed="64"/>
          <bgColor theme="3" tint="0.39997558519241921"/>
        </patternFill>
      </fill>
    </dxf>
    <dxf>
      <font>
        <b/>
        <color theme="1"/>
      </font>
      <border>
        <bottom style="thin">
          <color theme="4"/>
        </bottom>
        <vertical/>
        <horizontal/>
      </border>
    </dxf>
    <dxf>
      <font>
        <b/>
        <i val="0"/>
        <color theme="0"/>
        <name val="Cailbiri"/>
      </font>
      <fill>
        <patternFill>
          <bgColor theme="3" tint="0.39994506668294322"/>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9" defaultPivotStyle="PivotStyleLight16">
    <tableStyle name="New" pivot="0" table="0" count="10" xr9:uid="{4881E7AE-CA74-49DC-A3F1-B076DDEEFD2B}">
      <tableStyleElement type="wholeTable" dxfId="12"/>
      <tableStyleElement type="headerRow" dxfId="11"/>
    </tableStyle>
    <tableStyle name="New " pivot="0" table="0" count="10" xr9:uid="{64799D1A-A584-45C4-83A9-D84E45346008}">
      <tableStyleElement type="wholeTable" dxfId="10"/>
      <tableStyleElement type="headerRow" dxfId="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ew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of Personal finance.xlsx]Pivot Table!PivotTable4</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a:t>Expenses</a:t>
            </a:r>
            <a:r>
              <a:rPr lang="en-US" b="1" baseline="0"/>
              <a:t> By Category</a:t>
            </a:r>
            <a:endParaRPr lang="en-US" b="1"/>
          </a:p>
        </c:rich>
      </c:tx>
      <c:layout>
        <c:manualLayout>
          <c:xMode val="edge"/>
          <c:yMode val="edge"/>
          <c:x val="0.29622552183147755"/>
          <c:y val="0.17735109954660255"/>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28421213524779992"/>
          <c:y val="0.34415829901996198"/>
          <c:w val="0.33248664505172143"/>
          <c:h val="0.6481964410412"/>
        </c:manualLayout>
      </c:layout>
      <c:doughnutChart>
        <c:varyColors val="1"/>
        <c:ser>
          <c:idx val="0"/>
          <c:order val="0"/>
          <c:tx>
            <c:strRef>
              <c:f>'Pivot Table'!$B$3</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D-463C-9B77-9D2DE0ECCF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D-463C-9B77-9D2DE0ECCF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BD-463C-9B77-9D2DE0ECCF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BD-463C-9B77-9D2DE0ECCF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BD-463C-9B77-9D2DE0ECCF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4BD-463C-9B77-9D2DE0ECCF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4BD-463C-9B77-9D2DE0ECCFED}"/>
              </c:ext>
            </c:extLst>
          </c:dPt>
          <c:cat>
            <c:strRef>
              <c:f>'Pivot Table'!$A$4:$A$11</c:f>
              <c:strCache>
                <c:ptCount val="7"/>
                <c:pt idx="0">
                  <c:v>Shopping</c:v>
                </c:pt>
                <c:pt idx="1">
                  <c:v>Education</c:v>
                </c:pt>
                <c:pt idx="2">
                  <c:v>Transport</c:v>
                </c:pt>
                <c:pt idx="3">
                  <c:v>Healthcare</c:v>
                </c:pt>
                <c:pt idx="4">
                  <c:v>Bills</c:v>
                </c:pt>
                <c:pt idx="5">
                  <c:v>Food</c:v>
                </c:pt>
                <c:pt idx="6">
                  <c:v>Entertainment</c:v>
                </c:pt>
              </c:strCache>
            </c:strRef>
          </c:cat>
          <c:val>
            <c:numRef>
              <c:f>'Pivot Table'!$B$4:$B$11</c:f>
              <c:numCache>
                <c:formatCode>_([$BDT]\ * #,##0.00_);_([$BDT]\ * \(#,##0.00\);_([$BDT]\ * "-"??_);_(@_)</c:formatCode>
                <c:ptCount val="7"/>
                <c:pt idx="0">
                  <c:v>22853</c:v>
                </c:pt>
                <c:pt idx="1">
                  <c:v>44419</c:v>
                </c:pt>
                <c:pt idx="2">
                  <c:v>46794</c:v>
                </c:pt>
                <c:pt idx="3">
                  <c:v>54199</c:v>
                </c:pt>
                <c:pt idx="4">
                  <c:v>61328</c:v>
                </c:pt>
                <c:pt idx="5">
                  <c:v>66034</c:v>
                </c:pt>
                <c:pt idx="6">
                  <c:v>70132</c:v>
                </c:pt>
              </c:numCache>
            </c:numRef>
          </c:val>
          <c:extLst>
            <c:ext xmlns:c16="http://schemas.microsoft.com/office/drawing/2014/chart" uri="{C3380CC4-5D6E-409C-BE32-E72D297353CC}">
              <c16:uniqueId val="{0000000E-C4BD-463C-9B77-9D2DE0ECCF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882903188415426"/>
          <c:y val="0.61876217635282227"/>
          <c:w val="0.26611127629998788"/>
          <c:h val="0.34365787166880768"/>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of Personal finance.xlsx]Pivot Table!PivotTable5</c:name>
    <c:fmtId val="1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a:t>Total Income</a:t>
            </a:r>
          </a:p>
        </c:rich>
      </c:tx>
      <c:layout>
        <c:manualLayout>
          <c:xMode val="edge"/>
          <c:yMode val="edge"/>
          <c:x val="0.33921568627450982"/>
          <c:y val="0.21199922356972259"/>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887808624108404"/>
          <c:y val="0.35498995364064662"/>
          <c:w val="0.47923252063371596"/>
          <c:h val="0.39028108871712136"/>
        </c:manualLayout>
      </c:layout>
      <c:bar3DChart>
        <c:barDir val="col"/>
        <c:grouping val="stacked"/>
        <c:varyColors val="0"/>
        <c:ser>
          <c:idx val="0"/>
          <c:order val="0"/>
          <c:tx>
            <c:strRef>
              <c:f>'Pivot Table'!$B$16</c:f>
              <c:strCache>
                <c:ptCount val="1"/>
                <c:pt idx="0">
                  <c:v>Total</c:v>
                </c:pt>
              </c:strCache>
            </c:strRef>
          </c:tx>
          <c:spPr>
            <a:solidFill>
              <a:schemeClr val="accent2"/>
            </a:solidFill>
            <a:ln>
              <a:noFill/>
            </a:ln>
            <a:effectLst/>
            <a:sp3d/>
          </c:spPr>
          <c:invertIfNegative val="0"/>
          <c:cat>
            <c:strRef>
              <c:f>'Pivot Table'!$A$17:$A$18</c:f>
              <c:strCache>
                <c:ptCount val="1"/>
                <c:pt idx="0">
                  <c:v>Income</c:v>
                </c:pt>
              </c:strCache>
            </c:strRef>
          </c:cat>
          <c:val>
            <c:numRef>
              <c:f>'Pivot Table'!$B$17:$B$18</c:f>
              <c:numCache>
                <c:formatCode>_([$BDT]\ * #,##0.00_);_([$BDT]\ * \(#,##0.00\);_([$BDT]\ * "-"??_);_(@_)</c:formatCode>
                <c:ptCount val="1"/>
                <c:pt idx="0">
                  <c:v>514969</c:v>
                </c:pt>
              </c:numCache>
            </c:numRef>
          </c:val>
          <c:extLst>
            <c:ext xmlns:c16="http://schemas.microsoft.com/office/drawing/2014/chart" uri="{C3380CC4-5D6E-409C-BE32-E72D297353CC}">
              <c16:uniqueId val="{00000000-E108-4FD4-9D20-FC1A13FE2FAF}"/>
            </c:ext>
          </c:extLst>
        </c:ser>
        <c:dLbls>
          <c:showLegendKey val="0"/>
          <c:showVal val="0"/>
          <c:showCatName val="0"/>
          <c:showSerName val="0"/>
          <c:showPercent val="0"/>
          <c:showBubbleSize val="0"/>
        </c:dLbls>
        <c:gapWidth val="150"/>
        <c:shape val="box"/>
        <c:axId val="51277535"/>
        <c:axId val="51274623"/>
        <c:axId val="0"/>
      </c:bar3DChart>
      <c:catAx>
        <c:axId val="5127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274623"/>
        <c:crosses val="autoZero"/>
        <c:auto val="1"/>
        <c:lblAlgn val="ctr"/>
        <c:lblOffset val="100"/>
        <c:noMultiLvlLbl val="0"/>
      </c:catAx>
      <c:valAx>
        <c:axId val="51274623"/>
        <c:scaling>
          <c:orientation val="minMax"/>
        </c:scaling>
        <c:delete val="0"/>
        <c:axPos val="l"/>
        <c:majorGridlines>
          <c:spPr>
            <a:ln w="9525" cap="flat" cmpd="sng" algn="ctr">
              <a:solidFill>
                <a:schemeClr val="tx1">
                  <a:lumMod val="15000"/>
                  <a:lumOff val="85000"/>
                </a:schemeClr>
              </a:solidFill>
              <a:round/>
            </a:ln>
            <a:effectLst/>
          </c:spPr>
        </c:majorGridlines>
        <c:numFmt formatCode="_([$BDT]\ * #,##0.00_);_([$BDT]\ * \(#,##0.00\);_([$BD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2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of Personal finance.xlsx]Pivot Table!PivotTable10</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a:t>Savings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none"/>
          </c:marker>
          <c:cat>
            <c:strRef>
              <c:f>'Pivot Table'!$I$3:$I$15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Table'!$J$3:$J$15</c:f>
              <c:numCache>
                <c:formatCode>General</c:formatCode>
                <c:ptCount val="12"/>
                <c:pt idx="0">
                  <c:v>45608</c:v>
                </c:pt>
                <c:pt idx="1">
                  <c:v>13662</c:v>
                </c:pt>
                <c:pt idx="2">
                  <c:v>-3025</c:v>
                </c:pt>
                <c:pt idx="3">
                  <c:v>40101</c:v>
                </c:pt>
                <c:pt idx="4">
                  <c:v>19336</c:v>
                </c:pt>
                <c:pt idx="5">
                  <c:v>-44436</c:v>
                </c:pt>
                <c:pt idx="6">
                  <c:v>31986</c:v>
                </c:pt>
                <c:pt idx="7">
                  <c:v>10634</c:v>
                </c:pt>
                <c:pt idx="8">
                  <c:v>32518</c:v>
                </c:pt>
                <c:pt idx="9">
                  <c:v>-1520</c:v>
                </c:pt>
                <c:pt idx="10">
                  <c:v>10704</c:v>
                </c:pt>
                <c:pt idx="11">
                  <c:v>-6358</c:v>
                </c:pt>
              </c:numCache>
            </c:numRef>
          </c:val>
          <c:smooth val="0"/>
          <c:extLst>
            <c:ext xmlns:c16="http://schemas.microsoft.com/office/drawing/2014/chart" uri="{C3380CC4-5D6E-409C-BE32-E72D297353CC}">
              <c16:uniqueId val="{00000000-FA22-4017-ABEC-2EF6F0567051}"/>
            </c:ext>
          </c:extLst>
        </c:ser>
        <c:dLbls>
          <c:showLegendKey val="0"/>
          <c:showVal val="0"/>
          <c:showCatName val="0"/>
          <c:showSerName val="0"/>
          <c:showPercent val="0"/>
          <c:showBubbleSize val="0"/>
        </c:dLbls>
        <c:smooth val="0"/>
        <c:axId val="357006784"/>
        <c:axId val="291815664"/>
      </c:lineChart>
      <c:catAx>
        <c:axId val="3570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91815664"/>
        <c:crosses val="autoZero"/>
        <c:auto val="1"/>
        <c:lblAlgn val="ctr"/>
        <c:lblOffset val="100"/>
        <c:noMultiLvlLbl val="0"/>
      </c:catAx>
      <c:valAx>
        <c:axId val="29181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5700678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of Personal finance.xlsx]Pivot Table!PivotTable3</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a:t>Monthly</a:t>
            </a:r>
            <a:r>
              <a:rPr lang="en-US" b="1" baseline="0"/>
              <a:t> Income vs Expense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Table'!$E$2:$E$3</c:f>
              <c:strCache>
                <c:ptCount val="1"/>
                <c:pt idx="0">
                  <c:v>Expense</c:v>
                </c:pt>
              </c:strCache>
            </c:strRef>
          </c:tx>
          <c:spPr>
            <a:solidFill>
              <a:schemeClr val="accent2">
                <a:shade val="76000"/>
              </a:schemeClr>
            </a:solidFill>
            <a:ln>
              <a:noFill/>
            </a:ln>
            <a:effectLst/>
          </c:spPr>
          <c:invertIfNegative val="0"/>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_([$BDT]\ * #,##0.00_);_([$BDT]\ * \(#,##0.00\);_([$BDT]\ * "-"??_);_(@_)</c:formatCode>
                <c:ptCount val="12"/>
                <c:pt idx="0">
                  <c:v>54193</c:v>
                </c:pt>
                <c:pt idx="1">
                  <c:v>38784</c:v>
                </c:pt>
                <c:pt idx="2">
                  <c:v>40504</c:v>
                </c:pt>
                <c:pt idx="3">
                  <c:v>29851</c:v>
                </c:pt>
                <c:pt idx="4">
                  <c:v>39732</c:v>
                </c:pt>
                <c:pt idx="5">
                  <c:v>79383</c:v>
                </c:pt>
                <c:pt idx="6">
                  <c:v>7599</c:v>
                </c:pt>
                <c:pt idx="7">
                  <c:v>13512</c:v>
                </c:pt>
                <c:pt idx="8">
                  <c:v>10824</c:v>
                </c:pt>
                <c:pt idx="9">
                  <c:v>24005</c:v>
                </c:pt>
                <c:pt idx="10">
                  <c:v>18043</c:v>
                </c:pt>
                <c:pt idx="11">
                  <c:v>9329</c:v>
                </c:pt>
              </c:numCache>
            </c:numRef>
          </c:val>
          <c:extLst>
            <c:ext xmlns:c16="http://schemas.microsoft.com/office/drawing/2014/chart" uri="{C3380CC4-5D6E-409C-BE32-E72D297353CC}">
              <c16:uniqueId val="{00000000-AB28-4B59-9CEF-77F36BED2EE6}"/>
            </c:ext>
          </c:extLst>
        </c:ser>
        <c:ser>
          <c:idx val="1"/>
          <c:order val="1"/>
          <c:tx>
            <c:strRef>
              <c:f>'Pivot Table'!$F$2:$F$3</c:f>
              <c:strCache>
                <c:ptCount val="1"/>
                <c:pt idx="0">
                  <c:v>Income</c:v>
                </c:pt>
              </c:strCache>
            </c:strRef>
          </c:tx>
          <c:spPr>
            <a:solidFill>
              <a:schemeClr val="accent2">
                <a:tint val="77000"/>
              </a:schemeClr>
            </a:solidFill>
            <a:ln>
              <a:noFill/>
            </a:ln>
            <a:effectLst/>
          </c:spPr>
          <c:invertIfNegative val="0"/>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_([$BDT]\ * #,##0.00_);_([$BDT]\ * \(#,##0.00\);_([$BDT]\ * "-"??_);_(@_)</c:formatCode>
                <c:ptCount val="12"/>
                <c:pt idx="0">
                  <c:v>99801</c:v>
                </c:pt>
                <c:pt idx="1">
                  <c:v>52446</c:v>
                </c:pt>
                <c:pt idx="2">
                  <c:v>37479</c:v>
                </c:pt>
                <c:pt idx="3">
                  <c:v>69952</c:v>
                </c:pt>
                <c:pt idx="4">
                  <c:v>59068</c:v>
                </c:pt>
                <c:pt idx="5">
                  <c:v>34947</c:v>
                </c:pt>
                <c:pt idx="6">
                  <c:v>39585</c:v>
                </c:pt>
                <c:pt idx="7">
                  <c:v>24146</c:v>
                </c:pt>
                <c:pt idx="8">
                  <c:v>43342</c:v>
                </c:pt>
                <c:pt idx="9">
                  <c:v>22485</c:v>
                </c:pt>
                <c:pt idx="10">
                  <c:v>21186</c:v>
                </c:pt>
                <c:pt idx="11">
                  <c:v>10532</c:v>
                </c:pt>
              </c:numCache>
            </c:numRef>
          </c:val>
          <c:extLst>
            <c:ext xmlns:c16="http://schemas.microsoft.com/office/drawing/2014/chart" uri="{C3380CC4-5D6E-409C-BE32-E72D297353CC}">
              <c16:uniqueId val="{00000001-AB28-4B59-9CEF-77F36BED2EE6}"/>
            </c:ext>
          </c:extLst>
        </c:ser>
        <c:dLbls>
          <c:showLegendKey val="0"/>
          <c:showVal val="0"/>
          <c:showCatName val="0"/>
          <c:showSerName val="0"/>
          <c:showPercent val="0"/>
          <c:showBubbleSize val="0"/>
        </c:dLbls>
        <c:gapWidth val="219"/>
        <c:overlap val="-27"/>
        <c:axId val="2142470016"/>
        <c:axId val="2142465440"/>
      </c:barChart>
      <c:catAx>
        <c:axId val="21424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42465440"/>
        <c:crosses val="autoZero"/>
        <c:auto val="1"/>
        <c:lblAlgn val="ctr"/>
        <c:lblOffset val="100"/>
        <c:noMultiLvlLbl val="0"/>
      </c:catAx>
      <c:valAx>
        <c:axId val="2142465440"/>
        <c:scaling>
          <c:orientation val="minMax"/>
        </c:scaling>
        <c:delete val="0"/>
        <c:axPos val="l"/>
        <c:majorGridlines>
          <c:spPr>
            <a:ln w="9525" cap="flat" cmpd="sng" algn="ctr">
              <a:solidFill>
                <a:schemeClr val="tx1">
                  <a:lumMod val="15000"/>
                  <a:lumOff val="85000"/>
                </a:schemeClr>
              </a:solidFill>
              <a:round/>
            </a:ln>
            <a:effectLst/>
          </c:spPr>
        </c:majorGridlines>
        <c:numFmt formatCode="_([$BDT]\ * #,##0.00_);_([$BDT]\ * \(#,##0.00\);_([$BD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4247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Income</a:t>
            </a:r>
            <a:r>
              <a:rPr lang="en-US" sz="1200" b="1" baseline="0"/>
              <a:t> Vs Expenses Vs Savings</a:t>
            </a:r>
            <a:endParaRPr lang="en-US" sz="1200" b="1"/>
          </a:p>
        </c:rich>
      </c:tx>
      <c:layout>
        <c:manualLayout>
          <c:xMode val="edge"/>
          <c:yMode val="edge"/>
          <c:x val="0.13463642746715451"/>
          <c:y val="5.7422957155691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05069144443873"/>
          <c:y val="0.18097239654786576"/>
          <c:w val="0.57287368490785684"/>
          <c:h val="0.671457786526684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AF-435C-9102-8F6A385942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AF-435C-9102-8F6A385942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AF-435C-9102-8F6A3859420D}"/>
              </c:ext>
            </c:extLst>
          </c:dPt>
          <c:cat>
            <c:strRef>
              <c:f>Raw_Data!$K$1:$K$3</c:f>
              <c:strCache>
                <c:ptCount val="3"/>
                <c:pt idx="0">
                  <c:v>Total Income </c:v>
                </c:pt>
                <c:pt idx="1">
                  <c:v>Total Expense</c:v>
                </c:pt>
                <c:pt idx="2">
                  <c:v>Total savings</c:v>
                </c:pt>
              </c:strCache>
            </c:strRef>
          </c:cat>
          <c:val>
            <c:numRef>
              <c:f>Raw_Data!$L$1:$L$3</c:f>
              <c:numCache>
                <c:formatCode>_([$BDT]\ * #,##0.00_);_([$BDT]\ * \(#,##0.00\);_([$BDT]\ * "-"??_);_(@_)</c:formatCode>
                <c:ptCount val="3"/>
                <c:pt idx="0">
                  <c:v>514969</c:v>
                </c:pt>
                <c:pt idx="1">
                  <c:v>365759</c:v>
                </c:pt>
                <c:pt idx="2">
                  <c:v>149210</c:v>
                </c:pt>
              </c:numCache>
            </c:numRef>
          </c:val>
          <c:extLst>
            <c:ext xmlns:c16="http://schemas.microsoft.com/office/drawing/2014/chart" uri="{C3380CC4-5D6E-409C-BE32-E72D297353CC}">
              <c16:uniqueId val="{00000006-C1AF-435C-9102-8F6A3859420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739140</xdr:colOff>
      <xdr:row>17</xdr:row>
      <xdr:rowOff>137160</xdr:rowOff>
    </xdr:from>
    <xdr:to>
      <xdr:col>6</xdr:col>
      <xdr:colOff>38100</xdr:colOff>
      <xdr:row>31</xdr:row>
      <xdr:rowOff>43815</xdr:rowOff>
    </xdr:to>
    <mc:AlternateContent xmlns:mc="http://schemas.openxmlformats.org/markup-compatibility/2006">
      <mc:Choice xmlns:a14="http://schemas.microsoft.com/office/drawing/2010/main" Requires="a14">
        <xdr:graphicFrame macro="">
          <xdr:nvGraphicFramePr>
            <xdr:cNvPr id="3" name="Months 1">
              <a:extLst>
                <a:ext uri="{FF2B5EF4-FFF2-40B4-BE49-F238E27FC236}">
                  <a16:creationId xmlns:a16="http://schemas.microsoft.com/office/drawing/2014/main" id="{B245AE4A-D89A-4641-984C-633F18E62B53}"/>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4815840" y="3383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46463</xdr:rowOff>
    </xdr:from>
    <xdr:to>
      <xdr:col>20</xdr:col>
      <xdr:colOff>37171</xdr:colOff>
      <xdr:row>33</xdr:row>
      <xdr:rowOff>55756</xdr:rowOff>
    </xdr:to>
    <xdr:sp macro="" textlink="">
      <xdr:nvSpPr>
        <xdr:cNvPr id="2" name="Rectangle: Rounded Corners 1">
          <a:extLst>
            <a:ext uri="{FF2B5EF4-FFF2-40B4-BE49-F238E27FC236}">
              <a16:creationId xmlns:a16="http://schemas.microsoft.com/office/drawing/2014/main" id="{F499657E-2CF7-481C-BAB1-49C9CC687C05}"/>
            </a:ext>
          </a:extLst>
        </xdr:cNvPr>
        <xdr:cNvSpPr/>
      </xdr:nvSpPr>
      <xdr:spPr>
        <a:xfrm>
          <a:off x="0" y="418170"/>
          <a:ext cx="12303512" cy="5770757"/>
        </a:xfrm>
        <a:prstGeom prst="roundRect">
          <a:avLst>
            <a:gd name="adj" fmla="val 0"/>
          </a:avLst>
        </a:prstGeom>
        <a:solidFill>
          <a:schemeClr val="tx2">
            <a:lumMod val="20000"/>
            <a:lumOff val="8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0</xdr:col>
      <xdr:colOff>30480</xdr:colOff>
      <xdr:row>0</xdr:row>
      <xdr:rowOff>45720</xdr:rowOff>
    </xdr:from>
    <xdr:to>
      <xdr:col>3</xdr:col>
      <xdr:colOff>121920</xdr:colOff>
      <xdr:row>9</xdr:row>
      <xdr:rowOff>65049</xdr:rowOff>
    </xdr:to>
    <xdr:sp macro="" textlink="">
      <xdr:nvSpPr>
        <xdr:cNvPr id="3" name="Rectangle: Rounded Corners 2">
          <a:extLst>
            <a:ext uri="{FF2B5EF4-FFF2-40B4-BE49-F238E27FC236}">
              <a16:creationId xmlns:a16="http://schemas.microsoft.com/office/drawing/2014/main" id="{98B1CD3E-6CAA-4FCA-BDFD-A95FB8BF4C45}"/>
            </a:ext>
          </a:extLst>
        </xdr:cNvPr>
        <xdr:cNvSpPr/>
      </xdr:nvSpPr>
      <xdr:spPr>
        <a:xfrm>
          <a:off x="30480" y="45720"/>
          <a:ext cx="1931391" cy="1692012"/>
        </a:xfrm>
        <a:prstGeom prst="roundRect">
          <a:avLst>
            <a:gd name="adj" fmla="val 0"/>
          </a:avLst>
        </a:prstGeom>
        <a:solidFill>
          <a:schemeClr val="tx2">
            <a:lumMod val="20000"/>
            <a:lumOff val="8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8</xdr:row>
      <xdr:rowOff>148683</xdr:rowOff>
    </xdr:from>
    <xdr:to>
      <xdr:col>3</xdr:col>
      <xdr:colOff>114300</xdr:colOff>
      <xdr:row>15</xdr:row>
      <xdr:rowOff>130097</xdr:rowOff>
    </xdr:to>
    <xdr:sp macro="" textlink="">
      <xdr:nvSpPr>
        <xdr:cNvPr id="4" name="Rectangle: Rounded Corners 3">
          <a:extLst>
            <a:ext uri="{FF2B5EF4-FFF2-40B4-BE49-F238E27FC236}">
              <a16:creationId xmlns:a16="http://schemas.microsoft.com/office/drawing/2014/main" id="{776E3E3E-CBB1-4F3E-A5A2-88D77300C17D}"/>
            </a:ext>
          </a:extLst>
        </xdr:cNvPr>
        <xdr:cNvSpPr/>
      </xdr:nvSpPr>
      <xdr:spPr>
        <a:xfrm>
          <a:off x="0" y="1635512"/>
          <a:ext cx="1954251" cy="1282390"/>
        </a:xfrm>
        <a:prstGeom prst="roundRect">
          <a:avLst>
            <a:gd name="adj" fmla="val 0"/>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92927</xdr:rowOff>
    </xdr:from>
    <xdr:to>
      <xdr:col>3</xdr:col>
      <xdr:colOff>83633</xdr:colOff>
      <xdr:row>21</xdr:row>
      <xdr:rowOff>65049</xdr:rowOff>
    </xdr:to>
    <xdr:sp macro="" textlink="">
      <xdr:nvSpPr>
        <xdr:cNvPr id="5" name="Rectangle: Rounded Corners 4">
          <a:extLst>
            <a:ext uri="{FF2B5EF4-FFF2-40B4-BE49-F238E27FC236}">
              <a16:creationId xmlns:a16="http://schemas.microsoft.com/office/drawing/2014/main" id="{368E289C-9E0B-4ABE-A860-E393FA4D5C29}"/>
            </a:ext>
          </a:extLst>
        </xdr:cNvPr>
        <xdr:cNvSpPr/>
      </xdr:nvSpPr>
      <xdr:spPr>
        <a:xfrm>
          <a:off x="0" y="3066586"/>
          <a:ext cx="1923584" cy="901390"/>
        </a:xfrm>
        <a:prstGeom prst="roundRect">
          <a:avLst>
            <a:gd name="adj" fmla="val 0"/>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92927</xdr:colOff>
      <xdr:row>0</xdr:row>
      <xdr:rowOff>0</xdr:rowOff>
    </xdr:from>
    <xdr:to>
      <xdr:col>20</xdr:col>
      <xdr:colOff>46464</xdr:colOff>
      <xdr:row>4</xdr:row>
      <xdr:rowOff>0</xdr:rowOff>
    </xdr:to>
    <xdr:sp macro="" textlink="">
      <xdr:nvSpPr>
        <xdr:cNvPr id="6" name="Rectangle: Rounded Corners 5">
          <a:extLst>
            <a:ext uri="{FF2B5EF4-FFF2-40B4-BE49-F238E27FC236}">
              <a16:creationId xmlns:a16="http://schemas.microsoft.com/office/drawing/2014/main" id="{C865F8FA-92B4-4A3E-8286-E5EFF8A2075D}"/>
            </a:ext>
          </a:extLst>
        </xdr:cNvPr>
        <xdr:cNvSpPr/>
      </xdr:nvSpPr>
      <xdr:spPr>
        <a:xfrm>
          <a:off x="1932878" y="0"/>
          <a:ext cx="10379927" cy="743415"/>
        </a:xfrm>
        <a:prstGeom prst="roundRect">
          <a:avLst>
            <a:gd name="adj" fmla="val 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121920</xdr:colOff>
      <xdr:row>0</xdr:row>
      <xdr:rowOff>144780</xdr:rowOff>
    </xdr:from>
    <xdr:to>
      <xdr:col>16</xdr:col>
      <xdr:colOff>38100</xdr:colOff>
      <xdr:row>3</xdr:row>
      <xdr:rowOff>152400</xdr:rowOff>
    </xdr:to>
    <xdr:sp macro="" textlink="">
      <xdr:nvSpPr>
        <xdr:cNvPr id="8" name="TextBox 7">
          <a:extLst>
            <a:ext uri="{FF2B5EF4-FFF2-40B4-BE49-F238E27FC236}">
              <a16:creationId xmlns:a16="http://schemas.microsoft.com/office/drawing/2014/main" id="{DC50F4AF-A28F-449B-944C-A1B56DAD09EB}"/>
            </a:ext>
          </a:extLst>
        </xdr:cNvPr>
        <xdr:cNvSpPr txBox="1"/>
      </xdr:nvSpPr>
      <xdr:spPr>
        <a:xfrm>
          <a:off x="4998720" y="144780"/>
          <a:ext cx="479298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Personal Finance Dashbord</a:t>
          </a:r>
        </a:p>
      </xdr:txBody>
    </xdr:sp>
    <xdr:clientData/>
  </xdr:twoCellAnchor>
  <xdr:twoCellAnchor editAs="oneCell">
    <xdr:from>
      <xdr:col>0</xdr:col>
      <xdr:colOff>0</xdr:colOff>
      <xdr:row>0</xdr:row>
      <xdr:rowOff>0</xdr:rowOff>
    </xdr:from>
    <xdr:to>
      <xdr:col>3</xdr:col>
      <xdr:colOff>111512</xdr:colOff>
      <xdr:row>9</xdr:row>
      <xdr:rowOff>92927</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796BEF9-13D7-430C-AC67-DDD35EEE0B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951463" cy="1765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74342</xdr:rowOff>
    </xdr:from>
    <xdr:to>
      <xdr:col>3</xdr:col>
      <xdr:colOff>111511</xdr:colOff>
      <xdr:row>16</xdr:row>
      <xdr:rowOff>53340</xdr:rowOff>
    </xdr:to>
    <mc:AlternateContent xmlns:mc="http://schemas.openxmlformats.org/markup-compatibility/2006" xmlns:a14="http://schemas.microsoft.com/office/drawing/2010/main">
      <mc:Choice Requires="a14">
        <xdr:graphicFrame macro="">
          <xdr:nvGraphicFramePr>
            <xdr:cNvPr id="10" name="Months">
              <a:extLst>
                <a:ext uri="{FF2B5EF4-FFF2-40B4-BE49-F238E27FC236}">
                  <a16:creationId xmlns:a16="http://schemas.microsoft.com/office/drawing/2014/main" id="{FFDC649C-B74D-4E54-AA2B-0DE25B8DAA79}"/>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0" y="1747025"/>
              <a:ext cx="1951462" cy="1279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27878</xdr:colOff>
      <xdr:row>16</xdr:row>
      <xdr:rowOff>49993</xdr:rowOff>
    </xdr:from>
    <xdr:to>
      <xdr:col>3</xdr:col>
      <xdr:colOff>92927</xdr:colOff>
      <xdr:row>21</xdr:row>
      <xdr:rowOff>9291</xdr:rowOff>
    </xdr:to>
    <mc:AlternateContent xmlns:mc="http://schemas.openxmlformats.org/markup-compatibility/2006">
      <mc:Choice xmlns:a14="http://schemas.microsoft.com/office/drawing/2010/main" Requires="a14">
        <xdr:graphicFrame macro="">
          <xdr:nvGraphicFramePr>
            <xdr:cNvPr id="11" name="Type 1">
              <a:extLst>
                <a:ext uri="{FF2B5EF4-FFF2-40B4-BE49-F238E27FC236}">
                  <a16:creationId xmlns:a16="http://schemas.microsoft.com/office/drawing/2014/main" id="{0BECC3BC-A431-4C10-9C58-F4BE9C14E966}"/>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27878" y="3023652"/>
              <a:ext cx="1905000" cy="888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4</xdr:row>
      <xdr:rowOff>121920</xdr:rowOff>
    </xdr:from>
    <xdr:to>
      <xdr:col>6</xdr:col>
      <xdr:colOff>259080</xdr:colOff>
      <xdr:row>8</xdr:row>
      <xdr:rowOff>0</xdr:rowOff>
    </xdr:to>
    <xdr:sp macro="" textlink="">
      <xdr:nvSpPr>
        <xdr:cNvPr id="12" name="Rectangle: Rounded Corners 11">
          <a:extLst>
            <a:ext uri="{FF2B5EF4-FFF2-40B4-BE49-F238E27FC236}">
              <a16:creationId xmlns:a16="http://schemas.microsoft.com/office/drawing/2014/main" id="{63222EDE-7B56-4D83-B33C-116FF5F1B22F}"/>
            </a:ext>
          </a:extLst>
        </xdr:cNvPr>
        <xdr:cNvSpPr/>
      </xdr:nvSpPr>
      <xdr:spPr>
        <a:xfrm>
          <a:off x="1943100" y="853440"/>
          <a:ext cx="1973580" cy="609600"/>
        </a:xfrm>
        <a:prstGeom prst="roundRect">
          <a:avLst>
            <a:gd name="adj" fmla="val 6667"/>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107980</xdr:colOff>
      <xdr:row>4</xdr:row>
      <xdr:rowOff>37170</xdr:rowOff>
    </xdr:from>
    <xdr:to>
      <xdr:col>7</xdr:col>
      <xdr:colOff>424117</xdr:colOff>
      <xdr:row>9</xdr:row>
      <xdr:rowOff>55755</xdr:rowOff>
    </xdr:to>
    <xdr:sp macro="" textlink="">
      <xdr:nvSpPr>
        <xdr:cNvPr id="13" name="Oval 12">
          <a:extLst>
            <a:ext uri="{FF2B5EF4-FFF2-40B4-BE49-F238E27FC236}">
              <a16:creationId xmlns:a16="http://schemas.microsoft.com/office/drawing/2014/main" id="{7C5F2202-0F43-48F3-8E95-49F046C71D64}"/>
            </a:ext>
          </a:extLst>
        </xdr:cNvPr>
        <xdr:cNvSpPr/>
      </xdr:nvSpPr>
      <xdr:spPr>
        <a:xfrm>
          <a:off x="2561248" y="780585"/>
          <a:ext cx="2156089" cy="94785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591574</xdr:colOff>
      <xdr:row>4</xdr:row>
      <xdr:rowOff>20444</xdr:rowOff>
    </xdr:from>
    <xdr:to>
      <xdr:col>7</xdr:col>
      <xdr:colOff>168756</xdr:colOff>
      <xdr:row>5</xdr:row>
      <xdr:rowOff>145338</xdr:rowOff>
    </xdr:to>
    <xdr:sp macro="" textlink="">
      <xdr:nvSpPr>
        <xdr:cNvPr id="15" name="TextBox 14">
          <a:extLst>
            <a:ext uri="{FF2B5EF4-FFF2-40B4-BE49-F238E27FC236}">
              <a16:creationId xmlns:a16="http://schemas.microsoft.com/office/drawing/2014/main" id="{37CAD1AE-6F09-4488-81BA-D50EB3DC676F}"/>
            </a:ext>
          </a:extLst>
        </xdr:cNvPr>
        <xdr:cNvSpPr txBox="1"/>
      </xdr:nvSpPr>
      <xdr:spPr>
        <a:xfrm>
          <a:off x="3044842" y="763859"/>
          <a:ext cx="1417134" cy="31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Income</a:t>
          </a:r>
        </a:p>
      </xdr:txBody>
    </xdr:sp>
    <xdr:clientData/>
  </xdr:twoCellAnchor>
  <xdr:twoCellAnchor>
    <xdr:from>
      <xdr:col>5</xdr:col>
      <xdr:colOff>195146</xdr:colOff>
      <xdr:row>6</xdr:row>
      <xdr:rowOff>930</xdr:rowOff>
    </xdr:from>
    <xdr:to>
      <xdr:col>7</xdr:col>
      <xdr:colOff>436755</xdr:colOff>
      <xdr:row>7</xdr:row>
      <xdr:rowOff>65048</xdr:rowOff>
    </xdr:to>
    <xdr:sp macro="" textlink="">
      <xdr:nvSpPr>
        <xdr:cNvPr id="16" name="TextBox 15">
          <a:extLst>
            <a:ext uri="{FF2B5EF4-FFF2-40B4-BE49-F238E27FC236}">
              <a16:creationId xmlns:a16="http://schemas.microsoft.com/office/drawing/2014/main" id="{90363520-E0D6-4CDF-B286-FA37A430982C}"/>
            </a:ext>
          </a:extLst>
        </xdr:cNvPr>
        <xdr:cNvSpPr txBox="1"/>
      </xdr:nvSpPr>
      <xdr:spPr>
        <a:xfrm>
          <a:off x="3261731" y="1116052"/>
          <a:ext cx="1468244" cy="24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 BDT 514,969.00 </a:t>
          </a:r>
          <a:endParaRPr lang="en-US" sz="1400" b="1"/>
        </a:p>
      </xdr:txBody>
    </xdr:sp>
    <xdr:clientData/>
  </xdr:twoCellAnchor>
  <xdr:twoCellAnchor editAs="oneCell">
    <xdr:from>
      <xdr:col>4</xdr:col>
      <xdr:colOff>371709</xdr:colOff>
      <xdr:row>5</xdr:row>
      <xdr:rowOff>118363</xdr:rowOff>
    </xdr:from>
    <xdr:to>
      <xdr:col>5</xdr:col>
      <xdr:colOff>330521</xdr:colOff>
      <xdr:row>8</xdr:row>
      <xdr:rowOff>139391</xdr:rowOff>
    </xdr:to>
    <xdr:pic>
      <xdr:nvPicPr>
        <xdr:cNvPr id="20" name="Graphic 19" descr="Coins with solid fill">
          <a:extLst>
            <a:ext uri="{FF2B5EF4-FFF2-40B4-BE49-F238E27FC236}">
              <a16:creationId xmlns:a16="http://schemas.microsoft.com/office/drawing/2014/main" id="{D91AEF7D-678F-44C0-92FB-0E3A5C253B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824977" y="1047631"/>
          <a:ext cx="572129" cy="578589"/>
        </a:xfrm>
        <a:prstGeom prst="rect">
          <a:avLst/>
        </a:prstGeom>
      </xdr:spPr>
    </xdr:pic>
    <xdr:clientData/>
  </xdr:twoCellAnchor>
  <xdr:twoCellAnchor>
    <xdr:from>
      <xdr:col>9</xdr:col>
      <xdr:colOff>529312</xdr:colOff>
      <xdr:row>4</xdr:row>
      <xdr:rowOff>41444</xdr:rowOff>
    </xdr:from>
    <xdr:to>
      <xdr:col>13</xdr:col>
      <xdr:colOff>422632</xdr:colOff>
      <xdr:row>9</xdr:row>
      <xdr:rowOff>155744</xdr:rowOff>
    </xdr:to>
    <xdr:sp macro="" textlink="">
      <xdr:nvSpPr>
        <xdr:cNvPr id="21" name="Oval 20">
          <a:extLst>
            <a:ext uri="{FF2B5EF4-FFF2-40B4-BE49-F238E27FC236}">
              <a16:creationId xmlns:a16="http://schemas.microsoft.com/office/drawing/2014/main" id="{3F38D0F4-9F90-471D-8554-397C413FFCCB}"/>
            </a:ext>
          </a:extLst>
        </xdr:cNvPr>
        <xdr:cNvSpPr/>
      </xdr:nvSpPr>
      <xdr:spPr>
        <a:xfrm>
          <a:off x="6049166" y="784859"/>
          <a:ext cx="2346588" cy="104356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10</xdr:col>
      <xdr:colOff>460545</xdr:colOff>
      <xdr:row>4</xdr:row>
      <xdr:rowOff>31409</xdr:rowOff>
    </xdr:from>
    <xdr:to>
      <xdr:col>13</xdr:col>
      <xdr:colOff>155745</xdr:colOff>
      <xdr:row>5</xdr:row>
      <xdr:rowOff>156303</xdr:rowOff>
    </xdr:to>
    <xdr:sp macro="" textlink="">
      <xdr:nvSpPr>
        <xdr:cNvPr id="22" name="TextBox 21">
          <a:extLst>
            <a:ext uri="{FF2B5EF4-FFF2-40B4-BE49-F238E27FC236}">
              <a16:creationId xmlns:a16="http://schemas.microsoft.com/office/drawing/2014/main" id="{0F7C711F-DF20-4FCA-AFDD-501585C21D7B}"/>
            </a:ext>
          </a:extLst>
        </xdr:cNvPr>
        <xdr:cNvSpPr txBox="1"/>
      </xdr:nvSpPr>
      <xdr:spPr>
        <a:xfrm>
          <a:off x="6593716" y="774824"/>
          <a:ext cx="1535151" cy="31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Expense</a:t>
          </a:r>
        </a:p>
      </xdr:txBody>
    </xdr:sp>
    <xdr:clientData/>
  </xdr:twoCellAnchor>
  <xdr:twoCellAnchor editAs="oneCell">
    <xdr:from>
      <xdr:col>10</xdr:col>
      <xdr:colOff>131770</xdr:colOff>
      <xdr:row>5</xdr:row>
      <xdr:rowOff>50832</xdr:rowOff>
    </xdr:from>
    <xdr:to>
      <xdr:col>11</xdr:col>
      <xdr:colOff>94525</xdr:colOff>
      <xdr:row>8</xdr:row>
      <xdr:rowOff>76432</xdr:rowOff>
    </xdr:to>
    <xdr:pic>
      <xdr:nvPicPr>
        <xdr:cNvPr id="26" name="Graphic 25" descr="Money with solid fill">
          <a:extLst>
            <a:ext uri="{FF2B5EF4-FFF2-40B4-BE49-F238E27FC236}">
              <a16:creationId xmlns:a16="http://schemas.microsoft.com/office/drawing/2014/main" id="{39EC43C8-FDF5-4E84-8E88-C151807A77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264941" y="980100"/>
          <a:ext cx="576072" cy="583161"/>
        </a:xfrm>
        <a:prstGeom prst="rect">
          <a:avLst/>
        </a:prstGeom>
      </xdr:spPr>
    </xdr:pic>
    <xdr:clientData/>
  </xdr:twoCellAnchor>
  <xdr:twoCellAnchor>
    <xdr:from>
      <xdr:col>11</xdr:col>
      <xdr:colOff>76384</xdr:colOff>
      <xdr:row>6</xdr:row>
      <xdr:rowOff>23789</xdr:rowOff>
    </xdr:from>
    <xdr:to>
      <xdr:col>13</xdr:col>
      <xdr:colOff>260193</xdr:colOff>
      <xdr:row>7</xdr:row>
      <xdr:rowOff>130097</xdr:rowOff>
    </xdr:to>
    <xdr:sp macro="" textlink="">
      <xdr:nvSpPr>
        <xdr:cNvPr id="27" name="TextBox 26">
          <a:extLst>
            <a:ext uri="{FF2B5EF4-FFF2-40B4-BE49-F238E27FC236}">
              <a16:creationId xmlns:a16="http://schemas.microsoft.com/office/drawing/2014/main" id="{7F87E6CD-D00B-4A86-8880-1970E755645C}"/>
            </a:ext>
          </a:extLst>
        </xdr:cNvPr>
        <xdr:cNvSpPr txBox="1"/>
      </xdr:nvSpPr>
      <xdr:spPr>
        <a:xfrm>
          <a:off x="6822872" y="1138911"/>
          <a:ext cx="1410443" cy="2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BDT  365,759.00 </a:t>
          </a:r>
          <a:endParaRPr lang="en-US" sz="1400" b="1"/>
        </a:p>
      </xdr:txBody>
    </xdr:sp>
    <xdr:clientData/>
  </xdr:twoCellAnchor>
  <xdr:twoCellAnchor>
    <xdr:from>
      <xdr:col>15</xdr:col>
      <xdr:colOff>420772</xdr:colOff>
      <xdr:row>4</xdr:row>
      <xdr:rowOff>15239</xdr:rowOff>
    </xdr:from>
    <xdr:to>
      <xdr:col>19</xdr:col>
      <xdr:colOff>260752</xdr:colOff>
      <xdr:row>9</xdr:row>
      <xdr:rowOff>157974</xdr:rowOff>
    </xdr:to>
    <xdr:sp macro="" textlink="">
      <xdr:nvSpPr>
        <xdr:cNvPr id="28" name="Oval 27">
          <a:extLst>
            <a:ext uri="{FF2B5EF4-FFF2-40B4-BE49-F238E27FC236}">
              <a16:creationId xmlns:a16="http://schemas.microsoft.com/office/drawing/2014/main" id="{F838CD72-18CF-46FB-9CC7-E2D26CCA142D}"/>
            </a:ext>
          </a:extLst>
        </xdr:cNvPr>
        <xdr:cNvSpPr/>
      </xdr:nvSpPr>
      <xdr:spPr>
        <a:xfrm>
          <a:off x="9620528" y="758654"/>
          <a:ext cx="2293248" cy="107200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oneCellAnchor>
    <xdr:from>
      <xdr:col>16</xdr:col>
      <xdr:colOff>352006</xdr:colOff>
      <xdr:row>4</xdr:row>
      <xdr:rowOff>25462</xdr:rowOff>
    </xdr:from>
    <xdr:ext cx="1348740" cy="342786"/>
    <xdr:sp macro="" textlink="">
      <xdr:nvSpPr>
        <xdr:cNvPr id="29" name="TextBox 28">
          <a:extLst>
            <a:ext uri="{FF2B5EF4-FFF2-40B4-BE49-F238E27FC236}">
              <a16:creationId xmlns:a16="http://schemas.microsoft.com/office/drawing/2014/main" id="{BE8E0056-6EB8-409A-AA4A-C78AB1B589E2}"/>
            </a:ext>
          </a:extLst>
        </xdr:cNvPr>
        <xdr:cNvSpPr txBox="1"/>
      </xdr:nvSpPr>
      <xdr:spPr>
        <a:xfrm>
          <a:off x="10165079" y="768877"/>
          <a:ext cx="13487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Total Savings</a:t>
          </a:r>
        </a:p>
      </xdr:txBody>
    </xdr:sp>
    <xdr:clientData/>
  </xdr:oneCellAnchor>
  <xdr:twoCellAnchor editAs="oneCell">
    <xdr:from>
      <xdr:col>16</xdr:col>
      <xdr:colOff>142363</xdr:colOff>
      <xdr:row>5</xdr:row>
      <xdr:rowOff>120804</xdr:rowOff>
    </xdr:from>
    <xdr:to>
      <xdr:col>17</xdr:col>
      <xdr:colOff>102344</xdr:colOff>
      <xdr:row>8</xdr:row>
      <xdr:rowOff>139315</xdr:rowOff>
    </xdr:to>
    <xdr:pic>
      <xdr:nvPicPr>
        <xdr:cNvPr id="24" name="Graphic 23" descr="Scales of justice with solid fill">
          <a:extLst>
            <a:ext uri="{FF2B5EF4-FFF2-40B4-BE49-F238E27FC236}">
              <a16:creationId xmlns:a16="http://schemas.microsoft.com/office/drawing/2014/main" id="{30D64F44-B59C-43BA-94BD-F87C695F7F0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955436" y="1050072"/>
          <a:ext cx="573298" cy="576072"/>
        </a:xfrm>
        <a:prstGeom prst="rect">
          <a:avLst/>
        </a:prstGeom>
      </xdr:spPr>
    </xdr:pic>
    <xdr:clientData/>
  </xdr:twoCellAnchor>
  <xdr:twoCellAnchor>
    <xdr:from>
      <xdr:col>17</xdr:col>
      <xdr:colOff>7248</xdr:colOff>
      <xdr:row>6</xdr:row>
      <xdr:rowOff>51666</xdr:rowOff>
    </xdr:from>
    <xdr:to>
      <xdr:col>19</xdr:col>
      <xdr:colOff>213732</xdr:colOff>
      <xdr:row>7</xdr:row>
      <xdr:rowOff>139389</xdr:rowOff>
    </xdr:to>
    <xdr:sp macro="" textlink="">
      <xdr:nvSpPr>
        <xdr:cNvPr id="30" name="TextBox 29">
          <a:extLst>
            <a:ext uri="{FF2B5EF4-FFF2-40B4-BE49-F238E27FC236}">
              <a16:creationId xmlns:a16="http://schemas.microsoft.com/office/drawing/2014/main" id="{5EE33ECF-DC76-4242-9CA3-AFA3F2824FA6}"/>
            </a:ext>
          </a:extLst>
        </xdr:cNvPr>
        <xdr:cNvSpPr txBox="1"/>
      </xdr:nvSpPr>
      <xdr:spPr>
        <a:xfrm>
          <a:off x="10433638" y="1166788"/>
          <a:ext cx="1433118" cy="273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BDT  149,210.00 </a:t>
          </a:r>
          <a:endParaRPr lang="en-US" sz="1400" b="1"/>
        </a:p>
      </xdr:txBody>
    </xdr:sp>
    <xdr:clientData/>
  </xdr:twoCellAnchor>
  <xdr:twoCellAnchor>
    <xdr:from>
      <xdr:col>8</xdr:col>
      <xdr:colOff>427464</xdr:colOff>
      <xdr:row>9</xdr:row>
      <xdr:rowOff>148683</xdr:rowOff>
    </xdr:from>
    <xdr:to>
      <xdr:col>20</xdr:col>
      <xdr:colOff>65050</xdr:colOff>
      <xdr:row>19</xdr:row>
      <xdr:rowOff>111512</xdr:rowOff>
    </xdr:to>
    <xdr:sp macro="" textlink="">
      <xdr:nvSpPr>
        <xdr:cNvPr id="33" name="Rectangle 32">
          <a:extLst>
            <a:ext uri="{FF2B5EF4-FFF2-40B4-BE49-F238E27FC236}">
              <a16:creationId xmlns:a16="http://schemas.microsoft.com/office/drawing/2014/main" id="{DD13DF17-6282-4675-8FE4-826170EFBE06}"/>
            </a:ext>
          </a:extLst>
        </xdr:cNvPr>
        <xdr:cNvSpPr/>
      </xdr:nvSpPr>
      <xdr:spPr>
        <a:xfrm>
          <a:off x="5334001" y="1821366"/>
          <a:ext cx="6997390" cy="182136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130098</xdr:colOff>
      <xdr:row>9</xdr:row>
      <xdr:rowOff>74341</xdr:rowOff>
    </xdr:from>
    <xdr:to>
      <xdr:col>8</xdr:col>
      <xdr:colOff>436756</xdr:colOff>
      <xdr:row>18</xdr:row>
      <xdr:rowOff>137160</xdr:rowOff>
    </xdr:to>
    <xdr:sp macro="" textlink="">
      <xdr:nvSpPr>
        <xdr:cNvPr id="35" name="Rectangle 34">
          <a:extLst>
            <a:ext uri="{FF2B5EF4-FFF2-40B4-BE49-F238E27FC236}">
              <a16:creationId xmlns:a16="http://schemas.microsoft.com/office/drawing/2014/main" id="{1436E890-0236-4CBA-9BDB-72CC7FFEB19A}"/>
            </a:ext>
          </a:extLst>
        </xdr:cNvPr>
        <xdr:cNvSpPr/>
      </xdr:nvSpPr>
      <xdr:spPr>
        <a:xfrm flipH="1">
          <a:off x="1970049" y="1747024"/>
          <a:ext cx="3373244" cy="173550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115228</xdr:colOff>
      <xdr:row>18</xdr:row>
      <xdr:rowOff>157419</xdr:rowOff>
    </xdr:from>
    <xdr:to>
      <xdr:col>8</xdr:col>
      <xdr:colOff>483217</xdr:colOff>
      <xdr:row>32</xdr:row>
      <xdr:rowOff>120806</xdr:rowOff>
    </xdr:to>
    <xdr:sp macro="" textlink="">
      <xdr:nvSpPr>
        <xdr:cNvPr id="36" name="Rectangle 35">
          <a:extLst>
            <a:ext uri="{FF2B5EF4-FFF2-40B4-BE49-F238E27FC236}">
              <a16:creationId xmlns:a16="http://schemas.microsoft.com/office/drawing/2014/main" id="{9F367F28-E370-4255-A4DA-0408A46C0C45}"/>
            </a:ext>
          </a:extLst>
        </xdr:cNvPr>
        <xdr:cNvSpPr/>
      </xdr:nvSpPr>
      <xdr:spPr>
        <a:xfrm>
          <a:off x="1955179" y="3502785"/>
          <a:ext cx="3434575" cy="256533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83636</xdr:colOff>
      <xdr:row>9</xdr:row>
      <xdr:rowOff>130095</xdr:rowOff>
    </xdr:from>
    <xdr:to>
      <xdr:col>8</xdr:col>
      <xdr:colOff>408878</xdr:colOff>
      <xdr:row>19</xdr:row>
      <xdr:rowOff>102217</xdr:rowOff>
    </xdr:to>
    <xdr:graphicFrame macro="">
      <xdr:nvGraphicFramePr>
        <xdr:cNvPr id="39" name="Chart 38">
          <a:extLst>
            <a:ext uri="{FF2B5EF4-FFF2-40B4-BE49-F238E27FC236}">
              <a16:creationId xmlns:a16="http://schemas.microsoft.com/office/drawing/2014/main" id="{2F204066-167F-4205-A66B-D047CB0AF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65049</xdr:colOff>
      <xdr:row>19</xdr:row>
      <xdr:rowOff>92927</xdr:rowOff>
    </xdr:from>
    <xdr:to>
      <xdr:col>8</xdr:col>
      <xdr:colOff>408878</xdr:colOff>
      <xdr:row>33</xdr:row>
      <xdr:rowOff>37170</xdr:rowOff>
    </xdr:to>
    <xdr:graphicFrame macro="">
      <xdr:nvGraphicFramePr>
        <xdr:cNvPr id="41" name="Chart 40">
          <a:extLst>
            <a:ext uri="{FF2B5EF4-FFF2-40B4-BE49-F238E27FC236}">
              <a16:creationId xmlns:a16="http://schemas.microsoft.com/office/drawing/2014/main" id="{DEF48206-2E69-46F7-A754-9E223B7A0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426720</xdr:colOff>
      <xdr:row>19</xdr:row>
      <xdr:rowOff>148682</xdr:rowOff>
    </xdr:from>
    <xdr:to>
      <xdr:col>15</xdr:col>
      <xdr:colOff>223024</xdr:colOff>
      <xdr:row>33</xdr:row>
      <xdr:rowOff>37170</xdr:rowOff>
    </xdr:to>
    <xdr:sp macro="" textlink="">
      <xdr:nvSpPr>
        <xdr:cNvPr id="42" name="Rectangle 41">
          <a:extLst>
            <a:ext uri="{FF2B5EF4-FFF2-40B4-BE49-F238E27FC236}">
              <a16:creationId xmlns:a16="http://schemas.microsoft.com/office/drawing/2014/main" id="{A978EC14-85D3-4445-9E76-D0E590CF5182}"/>
            </a:ext>
          </a:extLst>
        </xdr:cNvPr>
        <xdr:cNvSpPr/>
      </xdr:nvSpPr>
      <xdr:spPr>
        <a:xfrm>
          <a:off x="5333257" y="3679902"/>
          <a:ext cx="4089523" cy="249043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449581</xdr:colOff>
      <xdr:row>19</xdr:row>
      <xdr:rowOff>157974</xdr:rowOff>
    </xdr:from>
    <xdr:to>
      <xdr:col>15</xdr:col>
      <xdr:colOff>232317</xdr:colOff>
      <xdr:row>33</xdr:row>
      <xdr:rowOff>27877</xdr:rowOff>
    </xdr:to>
    <xdr:graphicFrame macro="">
      <xdr:nvGraphicFramePr>
        <xdr:cNvPr id="43" name="Chart 42">
          <a:extLst>
            <a:ext uri="{FF2B5EF4-FFF2-40B4-BE49-F238E27FC236}">
              <a16:creationId xmlns:a16="http://schemas.microsoft.com/office/drawing/2014/main" id="{A603AE1F-1DEF-49D6-BCBE-1D88A31DA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427468</xdr:colOff>
      <xdr:row>9</xdr:row>
      <xdr:rowOff>176562</xdr:rowOff>
    </xdr:from>
    <xdr:to>
      <xdr:col>20</xdr:col>
      <xdr:colOff>27879</xdr:colOff>
      <xdr:row>19</xdr:row>
      <xdr:rowOff>111512</xdr:rowOff>
    </xdr:to>
    <xdr:graphicFrame macro="">
      <xdr:nvGraphicFramePr>
        <xdr:cNvPr id="32" name="Chart 31">
          <a:extLst>
            <a:ext uri="{FF2B5EF4-FFF2-40B4-BE49-F238E27FC236}">
              <a16:creationId xmlns:a16="http://schemas.microsoft.com/office/drawing/2014/main" id="{321E0052-9E0B-411C-A8B1-FD87F2BEA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260195</xdr:colOff>
      <xdr:row>19</xdr:row>
      <xdr:rowOff>157975</xdr:rowOff>
    </xdr:from>
    <xdr:to>
      <xdr:col>20</xdr:col>
      <xdr:colOff>0</xdr:colOff>
      <xdr:row>33</xdr:row>
      <xdr:rowOff>0</xdr:rowOff>
    </xdr:to>
    <xdr:sp macro="" textlink="">
      <xdr:nvSpPr>
        <xdr:cNvPr id="19" name="Flowchart: Process 18">
          <a:extLst>
            <a:ext uri="{FF2B5EF4-FFF2-40B4-BE49-F238E27FC236}">
              <a16:creationId xmlns:a16="http://schemas.microsoft.com/office/drawing/2014/main" id="{2E22E507-639C-45C8-8DB2-103D4168DD47}"/>
            </a:ext>
          </a:extLst>
        </xdr:cNvPr>
        <xdr:cNvSpPr/>
      </xdr:nvSpPr>
      <xdr:spPr>
        <a:xfrm>
          <a:off x="9459951" y="3689195"/>
          <a:ext cx="2806390" cy="2443976"/>
        </a:xfrm>
        <a:prstGeom prst="flowChartProcess">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594732</xdr:colOff>
      <xdr:row>20</xdr:row>
      <xdr:rowOff>130098</xdr:rowOff>
    </xdr:from>
    <xdr:to>
      <xdr:col>19</xdr:col>
      <xdr:colOff>278781</xdr:colOff>
      <xdr:row>23</xdr:row>
      <xdr:rowOff>9293</xdr:rowOff>
    </xdr:to>
    <xdr:sp macro="" textlink="">
      <xdr:nvSpPr>
        <xdr:cNvPr id="23" name="TextBox 22">
          <a:extLst>
            <a:ext uri="{FF2B5EF4-FFF2-40B4-BE49-F238E27FC236}">
              <a16:creationId xmlns:a16="http://schemas.microsoft.com/office/drawing/2014/main" id="{22390B27-D660-4415-8DE7-74C2EA55964E}"/>
            </a:ext>
          </a:extLst>
        </xdr:cNvPr>
        <xdr:cNvSpPr txBox="1"/>
      </xdr:nvSpPr>
      <xdr:spPr>
        <a:xfrm>
          <a:off x="9794488" y="3847171"/>
          <a:ext cx="2137317"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ysClr val="windowText" lastClr="000000"/>
              </a:solidFill>
            </a:rPr>
            <a:t>Financial Summary</a:t>
          </a:r>
        </a:p>
      </xdr:txBody>
    </xdr:sp>
    <xdr:clientData/>
  </xdr:twoCellAnchor>
  <xdr:twoCellAnchor>
    <xdr:from>
      <xdr:col>15</xdr:col>
      <xdr:colOff>250902</xdr:colOff>
      <xdr:row>23</xdr:row>
      <xdr:rowOff>74342</xdr:rowOff>
    </xdr:from>
    <xdr:to>
      <xdr:col>20</xdr:col>
      <xdr:colOff>278782</xdr:colOff>
      <xdr:row>25</xdr:row>
      <xdr:rowOff>65049</xdr:rowOff>
    </xdr:to>
    <xdr:sp macro="" textlink="">
      <xdr:nvSpPr>
        <xdr:cNvPr id="25" name="TextBox 24">
          <a:extLst>
            <a:ext uri="{FF2B5EF4-FFF2-40B4-BE49-F238E27FC236}">
              <a16:creationId xmlns:a16="http://schemas.microsoft.com/office/drawing/2014/main" id="{C402EAFD-C28D-4B91-B566-874DD7C634EA}"/>
            </a:ext>
          </a:extLst>
        </xdr:cNvPr>
        <xdr:cNvSpPr txBox="1"/>
      </xdr:nvSpPr>
      <xdr:spPr>
        <a:xfrm>
          <a:off x="9450658" y="4348976"/>
          <a:ext cx="3094465"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Highest</a:t>
          </a:r>
          <a:r>
            <a:rPr lang="en-US" sz="1600" b="1" baseline="0">
              <a:solidFill>
                <a:sysClr val="windowText" lastClr="000000"/>
              </a:solidFill>
            </a:rPr>
            <a:t> Expense: Entertainment</a:t>
          </a:r>
        </a:p>
        <a:p>
          <a:endParaRPr lang="en-US" sz="1100"/>
        </a:p>
      </xdr:txBody>
    </xdr:sp>
    <xdr:clientData/>
  </xdr:twoCellAnchor>
  <xdr:twoCellAnchor>
    <xdr:from>
      <xdr:col>15</xdr:col>
      <xdr:colOff>306657</xdr:colOff>
      <xdr:row>26</xdr:row>
      <xdr:rowOff>65049</xdr:rowOff>
    </xdr:from>
    <xdr:to>
      <xdr:col>20</xdr:col>
      <xdr:colOff>157975</xdr:colOff>
      <xdr:row>28</xdr:row>
      <xdr:rowOff>55756</xdr:rowOff>
    </xdr:to>
    <xdr:sp macro="" textlink="">
      <xdr:nvSpPr>
        <xdr:cNvPr id="40" name="TextBox 39">
          <a:extLst>
            <a:ext uri="{FF2B5EF4-FFF2-40B4-BE49-F238E27FC236}">
              <a16:creationId xmlns:a16="http://schemas.microsoft.com/office/drawing/2014/main" id="{7906C682-66E1-4EB1-99AD-74DE6DC23304}"/>
            </a:ext>
          </a:extLst>
        </xdr:cNvPr>
        <xdr:cNvSpPr txBox="1"/>
      </xdr:nvSpPr>
      <xdr:spPr>
        <a:xfrm>
          <a:off x="9506413" y="4897244"/>
          <a:ext cx="2917903"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ysClr val="windowText" lastClr="000000"/>
              </a:solidFill>
            </a:rPr>
            <a:t>Best Saving Month : January</a:t>
          </a:r>
        </a:p>
        <a:p>
          <a:endParaRPr lang="en-US" sz="1100"/>
        </a:p>
      </xdr:txBody>
    </xdr:sp>
    <xdr:clientData/>
  </xdr:twoCellAnchor>
  <xdr:twoCellAnchor>
    <xdr:from>
      <xdr:col>15</xdr:col>
      <xdr:colOff>325244</xdr:colOff>
      <xdr:row>28</xdr:row>
      <xdr:rowOff>18586</xdr:rowOff>
    </xdr:from>
    <xdr:to>
      <xdr:col>20</xdr:col>
      <xdr:colOff>176562</xdr:colOff>
      <xdr:row>30</xdr:row>
      <xdr:rowOff>9292</xdr:rowOff>
    </xdr:to>
    <xdr:sp macro="" textlink="">
      <xdr:nvSpPr>
        <xdr:cNvPr id="44" name="TextBox 43">
          <a:extLst>
            <a:ext uri="{FF2B5EF4-FFF2-40B4-BE49-F238E27FC236}">
              <a16:creationId xmlns:a16="http://schemas.microsoft.com/office/drawing/2014/main" id="{001D3E1F-AB72-484A-9051-AB470A25830F}"/>
            </a:ext>
          </a:extLst>
        </xdr:cNvPr>
        <xdr:cNvSpPr txBox="1"/>
      </xdr:nvSpPr>
      <xdr:spPr>
        <a:xfrm>
          <a:off x="9525000" y="5222488"/>
          <a:ext cx="2917903"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 </a:t>
          </a:r>
          <a:r>
            <a:rPr lang="en-US" sz="1600" b="1" baseline="0">
              <a:solidFill>
                <a:sysClr val="windowText" lastClr="000000"/>
              </a:solidFill>
            </a:rPr>
            <a:t>Saving Rate : 29 %</a:t>
          </a:r>
        </a:p>
        <a:p>
          <a:endParaRPr lang="en-US" sz="1100"/>
        </a:p>
      </xdr:txBody>
    </xdr:sp>
    <xdr:clientData/>
  </xdr:twoCellAnchor>
  <xdr:twoCellAnchor>
    <xdr:from>
      <xdr:col>15</xdr:col>
      <xdr:colOff>241610</xdr:colOff>
      <xdr:row>24</xdr:row>
      <xdr:rowOff>148683</xdr:rowOff>
    </xdr:from>
    <xdr:to>
      <xdr:col>20</xdr:col>
      <xdr:colOff>27879</xdr:colOff>
      <xdr:row>26</xdr:row>
      <xdr:rowOff>139390</xdr:rowOff>
    </xdr:to>
    <xdr:sp macro="" textlink="">
      <xdr:nvSpPr>
        <xdr:cNvPr id="45" name="TextBox 44">
          <a:extLst>
            <a:ext uri="{FF2B5EF4-FFF2-40B4-BE49-F238E27FC236}">
              <a16:creationId xmlns:a16="http://schemas.microsoft.com/office/drawing/2014/main" id="{30C976DA-E8F4-49C6-82D1-1A6115CF927D}"/>
            </a:ext>
          </a:extLst>
        </xdr:cNvPr>
        <xdr:cNvSpPr txBox="1"/>
      </xdr:nvSpPr>
      <xdr:spPr>
        <a:xfrm>
          <a:off x="9441366" y="4609171"/>
          <a:ext cx="2852854" cy="362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ysClr val="windowText" lastClr="000000"/>
              </a:solidFill>
            </a:rPr>
            <a:t> Average Expense : </a:t>
          </a:r>
          <a:r>
            <a:rPr lang="en-US" sz="11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BDT 1,828.80 </a:t>
          </a:r>
          <a:endParaRPr lang="en-US" sz="1400" b="1"/>
        </a:p>
      </xdr:txBody>
    </xdr:sp>
    <xdr:clientData/>
  </xdr:twoCellAnchor>
  <xdr:twoCellAnchor>
    <xdr:from>
      <xdr:col>7</xdr:col>
      <xdr:colOff>576146</xdr:colOff>
      <xdr:row>6</xdr:row>
      <xdr:rowOff>92927</xdr:rowOff>
    </xdr:from>
    <xdr:to>
      <xdr:col>9</xdr:col>
      <xdr:colOff>427464</xdr:colOff>
      <xdr:row>6</xdr:row>
      <xdr:rowOff>102220</xdr:rowOff>
    </xdr:to>
    <xdr:cxnSp macro="">
      <xdr:nvCxnSpPr>
        <xdr:cNvPr id="34" name="Straight Arrow Connector 33">
          <a:extLst>
            <a:ext uri="{FF2B5EF4-FFF2-40B4-BE49-F238E27FC236}">
              <a16:creationId xmlns:a16="http://schemas.microsoft.com/office/drawing/2014/main" id="{B4F60C59-201D-4C26-A4ED-3B7C85B04A0E}"/>
            </a:ext>
          </a:extLst>
        </xdr:cNvPr>
        <xdr:cNvCxnSpPr/>
      </xdr:nvCxnSpPr>
      <xdr:spPr>
        <a:xfrm>
          <a:off x="4869366" y="1208049"/>
          <a:ext cx="1077952" cy="9293"/>
        </a:xfrm>
        <a:prstGeom prst="straightConnector1">
          <a:avLst/>
        </a:prstGeom>
        <a:ln w="571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501805</xdr:colOff>
      <xdr:row>6</xdr:row>
      <xdr:rowOff>139390</xdr:rowOff>
    </xdr:from>
    <xdr:to>
      <xdr:col>15</xdr:col>
      <xdr:colOff>353123</xdr:colOff>
      <xdr:row>6</xdr:row>
      <xdr:rowOff>148683</xdr:rowOff>
    </xdr:to>
    <xdr:cxnSp macro="">
      <xdr:nvCxnSpPr>
        <xdr:cNvPr id="46" name="Straight Arrow Connector 45">
          <a:extLst>
            <a:ext uri="{FF2B5EF4-FFF2-40B4-BE49-F238E27FC236}">
              <a16:creationId xmlns:a16="http://schemas.microsoft.com/office/drawing/2014/main" id="{F0EE497A-47B4-4189-A2C8-18682A9EC7F1}"/>
            </a:ext>
          </a:extLst>
        </xdr:cNvPr>
        <xdr:cNvCxnSpPr/>
      </xdr:nvCxnSpPr>
      <xdr:spPr>
        <a:xfrm>
          <a:off x="8474927" y="1254512"/>
          <a:ext cx="1077952" cy="9293"/>
        </a:xfrm>
        <a:prstGeom prst="straightConnector1">
          <a:avLst/>
        </a:prstGeom>
        <a:ln w="571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55757</xdr:colOff>
      <xdr:row>21</xdr:row>
      <xdr:rowOff>65049</xdr:rowOff>
    </xdr:from>
    <xdr:to>
      <xdr:col>3</xdr:col>
      <xdr:colOff>18586</xdr:colOff>
      <xdr:row>32</xdr:row>
      <xdr:rowOff>148683</xdr:rowOff>
    </xdr:to>
    <xdr:sp macro="" textlink="">
      <xdr:nvSpPr>
        <xdr:cNvPr id="48" name="Flowchart: Process 47">
          <a:extLst>
            <a:ext uri="{FF2B5EF4-FFF2-40B4-BE49-F238E27FC236}">
              <a16:creationId xmlns:a16="http://schemas.microsoft.com/office/drawing/2014/main" id="{244834E7-86D9-4A74-A1D7-D4EFB7AC3EAA}"/>
            </a:ext>
          </a:extLst>
        </xdr:cNvPr>
        <xdr:cNvSpPr/>
      </xdr:nvSpPr>
      <xdr:spPr>
        <a:xfrm>
          <a:off x="55757" y="3967976"/>
          <a:ext cx="1802780" cy="2128024"/>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46463</xdr:colOff>
      <xdr:row>21</xdr:row>
      <xdr:rowOff>27877</xdr:rowOff>
    </xdr:from>
    <xdr:to>
      <xdr:col>3</xdr:col>
      <xdr:colOff>83634</xdr:colOff>
      <xdr:row>33</xdr:row>
      <xdr:rowOff>9292</xdr:rowOff>
    </xdr:to>
    <xdr:graphicFrame macro="">
      <xdr:nvGraphicFramePr>
        <xdr:cNvPr id="49" name="Chart 48">
          <a:extLst>
            <a:ext uri="{FF2B5EF4-FFF2-40B4-BE49-F238E27FC236}">
              <a16:creationId xmlns:a16="http://schemas.microsoft.com/office/drawing/2014/main" id="{50DA4C0F-1541-4D5F-AE62-96CD0651F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TECNO\Downloads\Project%201%20of%20Personal%20financ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NO" refreshedDate="46155.871523148147" createdVersion="7" refreshedVersion="7" minRefreshableVersion="3" recordCount="200" xr:uid="{42533E33-AE57-4CE1-AAFC-0F4EBDEBC272}">
  <cacheSource type="worksheet">
    <worksheetSource ref="H1:J201" sheet="Sheet4" r:id="rId2"/>
  </cacheSource>
  <cacheFields count="4">
    <cacheField name="Months" numFmtId="0">
      <sharedItems count="12">
        <s v="Jan"/>
        <s v="Feb"/>
        <s v="Mar"/>
        <s v="Apr"/>
        <s v="May"/>
        <s v="Jun"/>
        <s v="Jul"/>
        <s v="Aug"/>
        <s v="Sep"/>
        <s v="Oct"/>
        <s v="Nov"/>
        <s v="Dec"/>
      </sharedItems>
    </cacheField>
    <cacheField name="Expenses" numFmtId="0">
      <sharedItems containsSemiMixedTypes="0" containsString="0" containsNumber="1" containsInteger="1" minValue="0" maxValue="4993"/>
    </cacheField>
    <cacheField name="Income" numFmtId="0">
      <sharedItems containsSemiMixedTypes="0" containsString="0" containsNumber="1" containsInteger="1" minValue="0" maxValue="19903"/>
    </cacheField>
    <cacheField name="Savings" numFmtId="0">
      <sharedItems containsSemiMixedTypes="0" containsString="0" containsNumber="1" containsInteger="1" minValue="-4993" maxValue="199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NO" refreshedDate="46156.964639814818" createdVersion="7" refreshedVersion="7" minRefreshableVersion="3" recordCount="200" xr:uid="{94D6F127-9DDB-4B9A-A46C-A371C995D59D}">
  <cacheSource type="worksheet">
    <worksheetSource name="Table1"/>
  </cacheSource>
  <cacheFields count="7">
    <cacheField name="Date" numFmtId="15">
      <sharedItems containsSemiMixedTypes="0" containsNonDate="0" containsDate="1" containsString="0" minDate="2026-01-01T00:00:00" maxDate="2026-12-06T00:00:00"/>
    </cacheField>
    <cacheField name="Months" numFmtId="15">
      <sharedItems count="12">
        <s v="Jan"/>
        <s v="Feb"/>
        <s v="Mar"/>
        <s v="Apr"/>
        <s v="May"/>
        <s v="Jun"/>
        <s v="Jul"/>
        <s v="Aug"/>
        <s v="Sep"/>
        <s v="Oct"/>
        <s v="Nov"/>
        <s v="Dec"/>
      </sharedItems>
      <fieldGroup par="6"/>
    </cacheField>
    <cacheField name="Category" numFmtId="0">
      <sharedItems count="8">
        <s v="Food"/>
        <s v="Income"/>
        <s v="Healthcare"/>
        <s v="Education"/>
        <s v="Bills"/>
        <s v="Transport"/>
        <s v="Entertainment"/>
        <s v="Shopping"/>
      </sharedItems>
    </cacheField>
    <cacheField name="Description" numFmtId="0">
      <sharedItems/>
    </cacheField>
    <cacheField name="Amount" numFmtId="0">
      <sharedItems containsSemiMixedTypes="0" containsString="0" containsNumber="1" containsInteger="1" minValue="53" maxValue="19903"/>
    </cacheField>
    <cacheField name="Type" numFmtId="0">
      <sharedItems count="2">
        <s v="Expense"/>
        <s v="Income"/>
      </sharedItems>
    </cacheField>
    <cacheField name="Months2" numFmtId="0" databaseField="0">
      <fieldGroup base="1">
        <discretePr count="12">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514546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1550"/>
    <n v="9837"/>
    <n v="8287"/>
  </r>
  <r>
    <x v="0"/>
    <n v="0"/>
    <n v="0"/>
    <n v="0"/>
  </r>
  <r>
    <x v="0"/>
    <n v="2930"/>
    <n v="0"/>
    <n v="-2930"/>
  </r>
  <r>
    <x v="0"/>
    <n v="886"/>
    <n v="0"/>
    <n v="-886"/>
  </r>
  <r>
    <x v="0"/>
    <n v="1718"/>
    <n v="8720"/>
    <n v="7002"/>
  </r>
  <r>
    <x v="0"/>
    <n v="0"/>
    <n v="0"/>
    <n v="0"/>
  </r>
  <r>
    <x v="0"/>
    <n v="4896"/>
    <n v="9899"/>
    <n v="5003"/>
  </r>
  <r>
    <x v="0"/>
    <n v="0"/>
    <n v="0"/>
    <n v="0"/>
  </r>
  <r>
    <x v="0"/>
    <n v="2899"/>
    <n v="0"/>
    <n v="-2899"/>
  </r>
  <r>
    <x v="0"/>
    <n v="4809"/>
    <n v="0"/>
    <n v="-4809"/>
  </r>
  <r>
    <x v="0"/>
    <n v="1230"/>
    <n v="16461"/>
    <n v="15231"/>
  </r>
  <r>
    <x v="0"/>
    <n v="0"/>
    <n v="0"/>
    <n v="0"/>
  </r>
  <r>
    <x v="0"/>
    <n v="736"/>
    <n v="0"/>
    <n v="-736"/>
  </r>
  <r>
    <x v="0"/>
    <n v="3732"/>
    <n v="0"/>
    <n v="-3732"/>
  </r>
  <r>
    <x v="0"/>
    <n v="3966"/>
    <n v="0"/>
    <n v="-3966"/>
  </r>
  <r>
    <x v="0"/>
    <n v="2039"/>
    <n v="0"/>
    <n v="-2039"/>
  </r>
  <r>
    <x v="0"/>
    <n v="424"/>
    <n v="0"/>
    <n v="-424"/>
  </r>
  <r>
    <x v="0"/>
    <n v="275"/>
    <n v="0"/>
    <n v="-275"/>
  </r>
  <r>
    <x v="0"/>
    <n v="4815"/>
    <n v="17144"/>
    <n v="12329"/>
  </r>
  <r>
    <x v="0"/>
    <n v="0"/>
    <n v="0"/>
    <n v="0"/>
  </r>
  <r>
    <x v="0"/>
    <n v="119"/>
    <n v="0"/>
    <n v="-119"/>
  </r>
  <r>
    <x v="0"/>
    <n v="2950"/>
    <n v="8335"/>
    <n v="5385"/>
  </r>
  <r>
    <x v="0"/>
    <n v="0"/>
    <n v="10617"/>
    <n v="10617"/>
  </r>
  <r>
    <x v="0"/>
    <n v="0"/>
    <n v="0"/>
    <n v="0"/>
  </r>
  <r>
    <x v="0"/>
    <n v="680"/>
    <n v="0"/>
    <n v="-680"/>
  </r>
  <r>
    <x v="0"/>
    <n v="1368"/>
    <n v="0"/>
    <n v="-1368"/>
  </r>
  <r>
    <x v="0"/>
    <n v="1657"/>
    <n v="0"/>
    <n v="-1657"/>
  </r>
  <r>
    <x v="0"/>
    <n v="342"/>
    <n v="0"/>
    <n v="-342"/>
  </r>
  <r>
    <x v="0"/>
    <n v="202"/>
    <n v="0"/>
    <n v="-202"/>
  </r>
  <r>
    <x v="0"/>
    <n v="327"/>
    <n v="0"/>
    <n v="-327"/>
  </r>
  <r>
    <x v="0"/>
    <n v="1095"/>
    <n v="0"/>
    <n v="-1095"/>
  </r>
  <r>
    <x v="0"/>
    <n v="4276"/>
    <n v="0"/>
    <n v="-4276"/>
  </r>
  <r>
    <x v="0"/>
    <n v="4272"/>
    <n v="18788"/>
    <n v="14516"/>
  </r>
  <r>
    <x v="0"/>
    <n v="0"/>
    <n v="0"/>
    <n v="0"/>
  </r>
  <r>
    <x v="1"/>
    <n v="1995"/>
    <n v="0"/>
    <n v="-1995"/>
  </r>
  <r>
    <x v="1"/>
    <n v="4231"/>
    <n v="0"/>
    <n v="-4231"/>
  </r>
  <r>
    <x v="1"/>
    <n v="266"/>
    <n v="0"/>
    <n v="-266"/>
  </r>
  <r>
    <x v="1"/>
    <n v="363"/>
    <n v="6636"/>
    <n v="6273"/>
  </r>
  <r>
    <x v="1"/>
    <n v="0"/>
    <n v="0"/>
    <n v="0"/>
  </r>
  <r>
    <x v="1"/>
    <n v="670"/>
    <n v="0"/>
    <n v="-670"/>
  </r>
  <r>
    <x v="1"/>
    <n v="1886"/>
    <n v="0"/>
    <n v="-1886"/>
  </r>
  <r>
    <x v="1"/>
    <n v="1945"/>
    <n v="0"/>
    <n v="-1945"/>
  </r>
  <r>
    <x v="1"/>
    <n v="3104"/>
    <n v="6796"/>
    <n v="3692"/>
  </r>
  <r>
    <x v="1"/>
    <n v="0"/>
    <n v="15046"/>
    <n v="15046"/>
  </r>
  <r>
    <x v="1"/>
    <n v="0"/>
    <n v="3965"/>
    <n v="3965"/>
  </r>
  <r>
    <x v="1"/>
    <n v="0"/>
    <n v="0"/>
    <n v="0"/>
  </r>
  <r>
    <x v="1"/>
    <n v="1613"/>
    <n v="0"/>
    <n v="-1613"/>
  </r>
  <r>
    <x v="1"/>
    <n v="4310"/>
    <n v="4662"/>
    <n v="352"/>
  </r>
  <r>
    <x v="1"/>
    <n v="0"/>
    <n v="0"/>
    <n v="0"/>
  </r>
  <r>
    <x v="1"/>
    <n v="410"/>
    <n v="0"/>
    <n v="-410"/>
  </r>
  <r>
    <x v="1"/>
    <n v="4789"/>
    <n v="0"/>
    <n v="-4789"/>
  </r>
  <r>
    <x v="1"/>
    <n v="1119"/>
    <n v="0"/>
    <n v="-1119"/>
  </r>
  <r>
    <x v="1"/>
    <n v="629"/>
    <n v="0"/>
    <n v="-629"/>
  </r>
  <r>
    <x v="1"/>
    <n v="130"/>
    <n v="15341"/>
    <n v="15211"/>
  </r>
  <r>
    <x v="1"/>
    <n v="0"/>
    <n v="0"/>
    <n v="0"/>
  </r>
  <r>
    <x v="1"/>
    <n v="4157"/>
    <n v="0"/>
    <n v="-4157"/>
  </r>
  <r>
    <x v="1"/>
    <n v="4087"/>
    <n v="0"/>
    <n v="-4087"/>
  </r>
  <r>
    <x v="1"/>
    <n v="3080"/>
    <n v="0"/>
    <n v="-3080"/>
  </r>
  <r>
    <x v="2"/>
    <n v="436"/>
    <n v="10133"/>
    <n v="9697"/>
  </r>
  <r>
    <x v="2"/>
    <n v="0"/>
    <n v="0"/>
    <n v="0"/>
  </r>
  <r>
    <x v="2"/>
    <n v="2174"/>
    <n v="0"/>
    <n v="-2174"/>
  </r>
  <r>
    <x v="2"/>
    <n v="3927"/>
    <n v="0"/>
    <n v="-3927"/>
  </r>
  <r>
    <x v="2"/>
    <n v="4993"/>
    <n v="0"/>
    <n v="-4993"/>
  </r>
  <r>
    <x v="2"/>
    <n v="1551"/>
    <n v="0"/>
    <n v="-1551"/>
  </r>
  <r>
    <x v="2"/>
    <n v="4784"/>
    <n v="0"/>
    <n v="-4784"/>
  </r>
  <r>
    <x v="2"/>
    <n v="2315"/>
    <n v="0"/>
    <n v="-2315"/>
  </r>
  <r>
    <x v="2"/>
    <n v="3105"/>
    <n v="0"/>
    <n v="-3105"/>
  </r>
  <r>
    <x v="2"/>
    <n v="1330"/>
    <n v="0"/>
    <n v="-1330"/>
  </r>
  <r>
    <x v="2"/>
    <n v="4180"/>
    <n v="0"/>
    <n v="-4180"/>
  </r>
  <r>
    <x v="2"/>
    <n v="3669"/>
    <n v="4198"/>
    <n v="529"/>
  </r>
  <r>
    <x v="2"/>
    <n v="0"/>
    <n v="15185"/>
    <n v="15185"/>
  </r>
  <r>
    <x v="2"/>
    <n v="0"/>
    <n v="7963"/>
    <n v="7963"/>
  </r>
  <r>
    <x v="2"/>
    <n v="0"/>
    <n v="0"/>
    <n v="0"/>
  </r>
  <r>
    <x v="2"/>
    <n v="3259"/>
    <n v="0"/>
    <n v="-3259"/>
  </r>
  <r>
    <x v="2"/>
    <n v="3911"/>
    <n v="0"/>
    <n v="-3911"/>
  </r>
  <r>
    <x v="2"/>
    <n v="870"/>
    <n v="0"/>
    <n v="-870"/>
  </r>
  <r>
    <x v="3"/>
    <n v="2265"/>
    <n v="3106"/>
    <n v="841"/>
  </r>
  <r>
    <x v="3"/>
    <n v="0"/>
    <n v="0"/>
    <n v="0"/>
  </r>
  <r>
    <x v="3"/>
    <n v="1437"/>
    <n v="5801"/>
    <n v="4364"/>
  </r>
  <r>
    <x v="3"/>
    <n v="0"/>
    <n v="0"/>
    <n v="0"/>
  </r>
  <r>
    <x v="3"/>
    <n v="547"/>
    <n v="0"/>
    <n v="-547"/>
  </r>
  <r>
    <x v="3"/>
    <n v="4047"/>
    <n v="0"/>
    <n v="-4047"/>
  </r>
  <r>
    <x v="3"/>
    <n v="4936"/>
    <n v="0"/>
    <n v="-4936"/>
  </r>
  <r>
    <x v="3"/>
    <n v="2785"/>
    <n v="5720"/>
    <n v="2935"/>
  </r>
  <r>
    <x v="3"/>
    <n v="0"/>
    <n v="0"/>
    <n v="0"/>
  </r>
  <r>
    <x v="3"/>
    <n v="1766"/>
    <n v="8345"/>
    <n v="6579"/>
  </r>
  <r>
    <x v="3"/>
    <n v="0"/>
    <n v="0"/>
    <n v="0"/>
  </r>
  <r>
    <x v="3"/>
    <n v="1508"/>
    <n v="0"/>
    <n v="-1508"/>
  </r>
  <r>
    <x v="3"/>
    <n v="348"/>
    <n v="16210"/>
    <n v="15862"/>
  </r>
  <r>
    <x v="3"/>
    <n v="0"/>
    <n v="11737"/>
    <n v="11737"/>
  </r>
  <r>
    <x v="3"/>
    <n v="0"/>
    <n v="0"/>
    <n v="0"/>
  </r>
  <r>
    <x v="3"/>
    <n v="3225"/>
    <n v="0"/>
    <n v="-3225"/>
  </r>
  <r>
    <x v="3"/>
    <n v="53"/>
    <n v="0"/>
    <n v="-53"/>
  </r>
  <r>
    <x v="3"/>
    <n v="3677"/>
    <n v="19033"/>
    <n v="15356"/>
  </r>
  <r>
    <x v="3"/>
    <n v="0"/>
    <n v="0"/>
    <n v="0"/>
  </r>
  <r>
    <x v="3"/>
    <n v="3257"/>
    <n v="0"/>
    <n v="-3257"/>
  </r>
  <r>
    <x v="4"/>
    <n v="1313"/>
    <n v="13944"/>
    <n v="12631"/>
  </r>
  <r>
    <x v="4"/>
    <n v="0"/>
    <n v="0"/>
    <n v="0"/>
  </r>
  <r>
    <x v="4"/>
    <n v="2914"/>
    <n v="0"/>
    <n v="-2914"/>
  </r>
  <r>
    <x v="4"/>
    <n v="76"/>
    <n v="0"/>
    <n v="-76"/>
  </r>
  <r>
    <x v="4"/>
    <n v="2003"/>
    <n v="0"/>
    <n v="-2003"/>
  </r>
  <r>
    <x v="4"/>
    <n v="2601"/>
    <n v="5064"/>
    <n v="2463"/>
  </r>
  <r>
    <x v="4"/>
    <n v="0"/>
    <n v="0"/>
    <n v="0"/>
  </r>
  <r>
    <x v="4"/>
    <n v="2608"/>
    <n v="0"/>
    <n v="-2608"/>
  </r>
  <r>
    <x v="4"/>
    <n v="2149"/>
    <n v="0"/>
    <n v="-2149"/>
  </r>
  <r>
    <x v="4"/>
    <n v="4684"/>
    <n v="4262"/>
    <n v="-422"/>
  </r>
  <r>
    <x v="4"/>
    <n v="0"/>
    <n v="0"/>
    <n v="0"/>
  </r>
  <r>
    <x v="4"/>
    <n v="4847"/>
    <n v="3773"/>
    <n v="-1074"/>
  </r>
  <r>
    <x v="4"/>
    <n v="0"/>
    <n v="14134"/>
    <n v="14134"/>
  </r>
  <r>
    <x v="4"/>
    <n v="0"/>
    <n v="0"/>
    <n v="0"/>
  </r>
  <r>
    <x v="4"/>
    <n v="2137"/>
    <n v="4555"/>
    <n v="2418"/>
  </r>
  <r>
    <x v="4"/>
    <n v="0"/>
    <n v="0"/>
    <n v="0"/>
  </r>
  <r>
    <x v="4"/>
    <n v="3180"/>
    <n v="0"/>
    <n v="-3180"/>
  </r>
  <r>
    <x v="4"/>
    <n v="3212"/>
    <n v="0"/>
    <n v="-3212"/>
  </r>
  <r>
    <x v="4"/>
    <n v="3985"/>
    <n v="0"/>
    <n v="-3985"/>
  </r>
  <r>
    <x v="4"/>
    <n v="813"/>
    <n v="13336"/>
    <n v="12523"/>
  </r>
  <r>
    <x v="4"/>
    <n v="0"/>
    <n v="0"/>
    <n v="0"/>
  </r>
  <r>
    <x v="4"/>
    <n v="3210"/>
    <n v="0"/>
    <n v="-3210"/>
  </r>
  <r>
    <x v="5"/>
    <n v="289"/>
    <n v="0"/>
    <n v="-289"/>
  </r>
  <r>
    <x v="5"/>
    <n v="3868"/>
    <n v="7268"/>
    <n v="3400"/>
  </r>
  <r>
    <x v="5"/>
    <n v="0"/>
    <n v="12997"/>
    <n v="12997"/>
  </r>
  <r>
    <x v="5"/>
    <n v="0"/>
    <n v="0"/>
    <n v="0"/>
  </r>
  <r>
    <x v="5"/>
    <n v="1533"/>
    <n v="0"/>
    <n v="-1533"/>
  </r>
  <r>
    <x v="5"/>
    <n v="4401"/>
    <n v="10739"/>
    <n v="6338"/>
  </r>
  <r>
    <x v="5"/>
    <n v="0"/>
    <n v="0"/>
    <n v="0"/>
  </r>
  <r>
    <x v="5"/>
    <n v="4846"/>
    <n v="3943"/>
    <n v="-903"/>
  </r>
  <r>
    <x v="5"/>
    <n v="0"/>
    <n v="0"/>
    <n v="0"/>
  </r>
  <r>
    <x v="5"/>
    <n v="4593"/>
    <n v="0"/>
    <n v="-4593"/>
  </r>
  <r>
    <x v="5"/>
    <n v="2786"/>
    <n v="0"/>
    <n v="-2786"/>
  </r>
  <r>
    <x v="5"/>
    <n v="4659"/>
    <n v="0"/>
    <n v="-4659"/>
  </r>
  <r>
    <x v="5"/>
    <n v="2111"/>
    <n v="0"/>
    <n v="-2111"/>
  </r>
  <r>
    <x v="5"/>
    <n v="1241"/>
    <n v="0"/>
    <n v="-1241"/>
  </r>
  <r>
    <x v="5"/>
    <n v="2891"/>
    <n v="0"/>
    <n v="-2891"/>
  </r>
  <r>
    <x v="5"/>
    <n v="1441"/>
    <n v="0"/>
    <n v="-1441"/>
  </r>
  <r>
    <x v="5"/>
    <n v="928"/>
    <n v="0"/>
    <n v="-928"/>
  </r>
  <r>
    <x v="5"/>
    <n v="1337"/>
    <n v="0"/>
    <n v="-1337"/>
  </r>
  <r>
    <x v="5"/>
    <n v="1331"/>
    <n v="0"/>
    <n v="-1331"/>
  </r>
  <r>
    <x v="5"/>
    <n v="735"/>
    <n v="0"/>
    <n v="-735"/>
  </r>
  <r>
    <x v="5"/>
    <n v="4263"/>
    <n v="0"/>
    <n v="-4263"/>
  </r>
  <r>
    <x v="5"/>
    <n v="4618"/>
    <n v="0"/>
    <n v="-4618"/>
  </r>
  <r>
    <x v="5"/>
    <n v="1955"/>
    <n v="0"/>
    <n v="-1955"/>
  </r>
  <r>
    <x v="5"/>
    <n v="2114"/>
    <n v="0"/>
    <n v="-2114"/>
  </r>
  <r>
    <x v="5"/>
    <n v="4269"/>
    <n v="0"/>
    <n v="-4269"/>
  </r>
  <r>
    <x v="5"/>
    <n v="2541"/>
    <n v="0"/>
    <n v="-2541"/>
  </r>
  <r>
    <x v="5"/>
    <n v="3829"/>
    <n v="0"/>
    <n v="-3829"/>
  </r>
  <r>
    <x v="5"/>
    <n v="4846"/>
    <n v="0"/>
    <n v="-4846"/>
  </r>
  <r>
    <x v="5"/>
    <n v="4329"/>
    <n v="0"/>
    <n v="-4329"/>
  </r>
  <r>
    <x v="5"/>
    <n v="2122"/>
    <n v="0"/>
    <n v="-2122"/>
  </r>
  <r>
    <x v="5"/>
    <n v="2877"/>
    <n v="0"/>
    <n v="-2877"/>
  </r>
  <r>
    <x v="5"/>
    <n v="2630"/>
    <n v="0"/>
    <n v="-2630"/>
  </r>
  <r>
    <x v="6"/>
    <n v="1731"/>
    <n v="14738"/>
    <n v="13007"/>
  </r>
  <r>
    <x v="6"/>
    <n v="0"/>
    <n v="19903"/>
    <n v="19903"/>
  </r>
  <r>
    <x v="6"/>
    <n v="0"/>
    <n v="0"/>
    <n v="0"/>
  </r>
  <r>
    <x v="6"/>
    <n v="2916"/>
    <n v="0"/>
    <n v="-2916"/>
  </r>
  <r>
    <x v="6"/>
    <n v="2400"/>
    <n v="4944"/>
    <n v="2544"/>
  </r>
  <r>
    <x v="6"/>
    <n v="0"/>
    <n v="0"/>
    <n v="0"/>
  </r>
  <r>
    <x v="6"/>
    <n v="552"/>
    <n v="0"/>
    <n v="-552"/>
  </r>
  <r>
    <x v="7"/>
    <n v="2342"/>
    <n v="17850"/>
    <n v="15508"/>
  </r>
  <r>
    <x v="7"/>
    <n v="0"/>
    <n v="0"/>
    <n v="0"/>
  </r>
  <r>
    <x v="7"/>
    <n v="2345"/>
    <n v="0"/>
    <n v="-2345"/>
  </r>
  <r>
    <x v="7"/>
    <n v="1613"/>
    <n v="0"/>
    <n v="-1613"/>
  </r>
  <r>
    <x v="7"/>
    <n v="2723"/>
    <n v="6296"/>
    <n v="3573"/>
  </r>
  <r>
    <x v="7"/>
    <n v="0"/>
    <n v="0"/>
    <n v="0"/>
  </r>
  <r>
    <x v="7"/>
    <n v="683"/>
    <n v="0"/>
    <n v="-683"/>
  </r>
  <r>
    <x v="7"/>
    <n v="2480"/>
    <n v="0"/>
    <n v="-2480"/>
  </r>
  <r>
    <x v="7"/>
    <n v="1326"/>
    <n v="0"/>
    <n v="-1326"/>
  </r>
  <r>
    <x v="8"/>
    <n v="886"/>
    <n v="0"/>
    <n v="-886"/>
  </r>
  <r>
    <x v="8"/>
    <n v="2538"/>
    <n v="13477"/>
    <n v="10939"/>
  </r>
  <r>
    <x v="8"/>
    <n v="0"/>
    <n v="0"/>
    <n v="0"/>
  </r>
  <r>
    <x v="8"/>
    <n v="208"/>
    <n v="0"/>
    <n v="-208"/>
  </r>
  <r>
    <x v="8"/>
    <n v="3791"/>
    <n v="18707"/>
    <n v="14916"/>
  </r>
  <r>
    <x v="8"/>
    <n v="0"/>
    <n v="0"/>
    <n v="0"/>
  </r>
  <r>
    <x v="8"/>
    <n v="3401"/>
    <n v="11158"/>
    <n v="7757"/>
  </r>
  <r>
    <x v="8"/>
    <n v="0"/>
    <n v="0"/>
    <n v="0"/>
  </r>
  <r>
    <x v="9"/>
    <n v="1765"/>
    <n v="0"/>
    <n v="-1765"/>
  </r>
  <r>
    <x v="9"/>
    <n v="4974"/>
    <n v="0"/>
    <n v="-4974"/>
  </r>
  <r>
    <x v="9"/>
    <n v="1501"/>
    <n v="0"/>
    <n v="-1501"/>
  </r>
  <r>
    <x v="9"/>
    <n v="3095"/>
    <n v="16179"/>
    <n v="13084"/>
  </r>
  <r>
    <x v="9"/>
    <n v="0"/>
    <n v="0"/>
    <n v="0"/>
  </r>
  <r>
    <x v="9"/>
    <n v="2323"/>
    <n v="6306"/>
    <n v="3983"/>
  </r>
  <r>
    <x v="9"/>
    <n v="0"/>
    <n v="0"/>
    <n v="0"/>
  </r>
  <r>
    <x v="9"/>
    <n v="3581"/>
    <n v="0"/>
    <n v="-3581"/>
  </r>
  <r>
    <x v="9"/>
    <n v="2606"/>
    <n v="0"/>
    <n v="-2606"/>
  </r>
  <r>
    <x v="9"/>
    <n v="3009"/>
    <n v="0"/>
    <n v="-3009"/>
  </r>
  <r>
    <x v="9"/>
    <n v="1151"/>
    <n v="0"/>
    <n v="-1151"/>
  </r>
  <r>
    <x v="10"/>
    <n v="3806"/>
    <n v="0"/>
    <n v="-3806"/>
  </r>
  <r>
    <x v="10"/>
    <n v="2866"/>
    <n v="14410"/>
    <n v="11544"/>
  </r>
  <r>
    <x v="10"/>
    <n v="0"/>
    <n v="0"/>
    <n v="0"/>
  </r>
  <r>
    <x v="10"/>
    <n v="2179"/>
    <n v="0"/>
    <n v="-2179"/>
  </r>
  <r>
    <x v="10"/>
    <n v="4853"/>
    <n v="0"/>
    <n v="-4853"/>
  </r>
  <r>
    <x v="10"/>
    <n v="3158"/>
    <n v="6776"/>
    <n v="3618"/>
  </r>
  <r>
    <x v="10"/>
    <n v="0"/>
    <n v="0"/>
    <n v="0"/>
  </r>
  <r>
    <x v="10"/>
    <n v="1181"/>
    <n v="7561"/>
    <n v="6380"/>
  </r>
  <r>
    <x v="11"/>
    <n v="0"/>
    <n v="0"/>
    <n v="0"/>
  </r>
  <r>
    <x v="11"/>
    <n v="2391"/>
    <n v="0"/>
    <n v="-2391"/>
  </r>
  <r>
    <x v="11"/>
    <n v="585"/>
    <n v="0"/>
    <n v="-585"/>
  </r>
  <r>
    <x v="11"/>
    <n v="803"/>
    <n v="0"/>
    <n v="-803"/>
  </r>
  <r>
    <x v="11"/>
    <n v="4235"/>
    <n v="0"/>
    <n v="-4235"/>
  </r>
  <r>
    <x v="11"/>
    <n v="1315"/>
    <n v="2971"/>
    <n v="1656"/>
  </r>
  <r>
    <x v="11"/>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6-01-01T00:00:00"/>
    <x v="0"/>
    <x v="0"/>
    <s v="Burger"/>
    <n v="1550"/>
    <x v="0"/>
  </r>
  <r>
    <d v="2026-01-01T00:00:00"/>
    <x v="0"/>
    <x v="1"/>
    <s v="Freelancing"/>
    <n v="9837"/>
    <x v="1"/>
  </r>
  <r>
    <d v="2026-01-01T00:00:00"/>
    <x v="0"/>
    <x v="0"/>
    <s v="Burger"/>
    <n v="2930"/>
    <x v="0"/>
  </r>
  <r>
    <d v="2026-01-01T00:00:00"/>
    <x v="0"/>
    <x v="2"/>
    <s v="Doctor Visit"/>
    <n v="886"/>
    <x v="0"/>
  </r>
  <r>
    <d v="2026-01-01T00:00:00"/>
    <x v="0"/>
    <x v="3"/>
    <s v="Books"/>
    <n v="1718"/>
    <x v="0"/>
  </r>
  <r>
    <d v="2026-01-02T00:00:00"/>
    <x v="0"/>
    <x v="1"/>
    <s v="Scholarship"/>
    <n v="8720"/>
    <x v="1"/>
  </r>
  <r>
    <d v="2026-01-04T00:00:00"/>
    <x v="0"/>
    <x v="3"/>
    <s v="Books"/>
    <n v="4896"/>
    <x v="0"/>
  </r>
  <r>
    <d v="2026-01-05T00:00:00"/>
    <x v="0"/>
    <x v="1"/>
    <s v="Tuition"/>
    <n v="9899"/>
    <x v="1"/>
  </r>
  <r>
    <d v="2026-01-06T00:00:00"/>
    <x v="0"/>
    <x v="4"/>
    <s v="Internet Bill"/>
    <n v="2899"/>
    <x v="0"/>
  </r>
  <r>
    <d v="2026-01-13T00:00:00"/>
    <x v="0"/>
    <x v="0"/>
    <s v="Snacks"/>
    <n v="4809"/>
    <x v="0"/>
  </r>
  <r>
    <d v="2026-01-14T00:00:00"/>
    <x v="0"/>
    <x v="5"/>
    <s v="Bus Fare"/>
    <n v="1230"/>
    <x v="0"/>
  </r>
  <r>
    <d v="2026-01-15T00:00:00"/>
    <x v="0"/>
    <x v="1"/>
    <s v="Salary"/>
    <n v="16461"/>
    <x v="1"/>
  </r>
  <r>
    <d v="2026-01-15T00:00:00"/>
    <x v="0"/>
    <x v="0"/>
    <s v="Lunch"/>
    <n v="736"/>
    <x v="0"/>
  </r>
  <r>
    <d v="2026-01-16T00:00:00"/>
    <x v="0"/>
    <x v="0"/>
    <s v="Snacks"/>
    <n v="3732"/>
    <x v="0"/>
  </r>
  <r>
    <d v="2026-01-16T00:00:00"/>
    <x v="0"/>
    <x v="6"/>
    <s v="Netflix"/>
    <n v="3966"/>
    <x v="0"/>
  </r>
  <r>
    <d v="2026-01-16T00:00:00"/>
    <x v="0"/>
    <x v="4"/>
    <s v="Internet Bill"/>
    <n v="2039"/>
    <x v="0"/>
  </r>
  <r>
    <d v="2026-01-17T00:00:00"/>
    <x v="0"/>
    <x v="0"/>
    <s v="Burger"/>
    <n v="424"/>
    <x v="0"/>
  </r>
  <r>
    <d v="2026-01-19T00:00:00"/>
    <x v="0"/>
    <x v="4"/>
    <s v="Internet Bill"/>
    <n v="275"/>
    <x v="0"/>
  </r>
  <r>
    <d v="2026-01-19T00:00:00"/>
    <x v="0"/>
    <x v="2"/>
    <s v="Doctor Visit"/>
    <n v="4815"/>
    <x v="0"/>
  </r>
  <r>
    <d v="2026-01-20T00:00:00"/>
    <x v="0"/>
    <x v="1"/>
    <s v="Scholarship"/>
    <n v="17144"/>
    <x v="1"/>
  </r>
  <r>
    <d v="2026-01-21T00:00:00"/>
    <x v="0"/>
    <x v="6"/>
    <s v="Gaming"/>
    <n v="119"/>
    <x v="0"/>
  </r>
  <r>
    <d v="2026-01-21T00:00:00"/>
    <x v="0"/>
    <x v="5"/>
    <s v="Rickshaw"/>
    <n v="2950"/>
    <x v="0"/>
  </r>
  <r>
    <d v="2026-01-22T00:00:00"/>
    <x v="0"/>
    <x v="1"/>
    <s v="Gift"/>
    <n v="8335"/>
    <x v="1"/>
  </r>
  <r>
    <d v="2026-01-23T00:00:00"/>
    <x v="0"/>
    <x v="1"/>
    <s v="Freelancing"/>
    <n v="10617"/>
    <x v="1"/>
  </r>
  <r>
    <d v="2026-01-23T00:00:00"/>
    <x v="0"/>
    <x v="5"/>
    <s v="Bus Fare"/>
    <n v="680"/>
    <x v="0"/>
  </r>
  <r>
    <d v="2026-01-25T00:00:00"/>
    <x v="0"/>
    <x v="2"/>
    <s v="Medicine"/>
    <n v="1368"/>
    <x v="0"/>
  </r>
  <r>
    <d v="2026-01-25T00:00:00"/>
    <x v="0"/>
    <x v="2"/>
    <s v="Medicine"/>
    <n v="1657"/>
    <x v="0"/>
  </r>
  <r>
    <d v="2026-01-25T00:00:00"/>
    <x v="0"/>
    <x v="5"/>
    <s v="Rickshaw"/>
    <n v="342"/>
    <x v="0"/>
  </r>
  <r>
    <d v="2026-01-26T00:00:00"/>
    <x v="0"/>
    <x v="6"/>
    <s v="Netflix"/>
    <n v="202"/>
    <x v="0"/>
  </r>
  <r>
    <d v="2026-01-27T00:00:00"/>
    <x v="0"/>
    <x v="4"/>
    <s v="Internet Bill"/>
    <n v="327"/>
    <x v="0"/>
  </r>
  <r>
    <d v="2026-01-29T00:00:00"/>
    <x v="0"/>
    <x v="4"/>
    <s v="Electricity Bill"/>
    <n v="1095"/>
    <x v="0"/>
  </r>
  <r>
    <d v="2026-01-29T00:00:00"/>
    <x v="0"/>
    <x v="0"/>
    <s v="Burger"/>
    <n v="4276"/>
    <x v="0"/>
  </r>
  <r>
    <d v="2026-01-30T00:00:00"/>
    <x v="0"/>
    <x v="6"/>
    <s v="Netflix"/>
    <n v="4272"/>
    <x v="0"/>
  </r>
  <r>
    <d v="2026-01-30T00:00:00"/>
    <x v="0"/>
    <x v="1"/>
    <s v="Salary"/>
    <n v="18788"/>
    <x v="1"/>
  </r>
  <r>
    <d v="2026-02-01T00:00:00"/>
    <x v="1"/>
    <x v="0"/>
    <s v="Coffee"/>
    <n v="1995"/>
    <x v="0"/>
  </r>
  <r>
    <d v="2026-02-01T00:00:00"/>
    <x v="1"/>
    <x v="7"/>
    <s v="Clothes"/>
    <n v="4231"/>
    <x v="0"/>
  </r>
  <r>
    <d v="2026-02-01T00:00:00"/>
    <x v="1"/>
    <x v="0"/>
    <s v="Snacks"/>
    <n v="266"/>
    <x v="0"/>
  </r>
  <r>
    <d v="2026-02-06T00:00:00"/>
    <x v="1"/>
    <x v="0"/>
    <s v="Dinner"/>
    <n v="363"/>
    <x v="0"/>
  </r>
  <r>
    <d v="2026-02-06T00:00:00"/>
    <x v="1"/>
    <x v="1"/>
    <s v="Freelancing"/>
    <n v="6636"/>
    <x v="1"/>
  </r>
  <r>
    <d v="2026-02-13T00:00:00"/>
    <x v="1"/>
    <x v="4"/>
    <s v="Electricity Bill"/>
    <n v="670"/>
    <x v="0"/>
  </r>
  <r>
    <d v="2026-02-13T00:00:00"/>
    <x v="1"/>
    <x v="6"/>
    <s v="Gaming"/>
    <n v="1886"/>
    <x v="0"/>
  </r>
  <r>
    <d v="2026-02-13T00:00:00"/>
    <x v="1"/>
    <x v="0"/>
    <s v="Dinner"/>
    <n v="1945"/>
    <x v="0"/>
  </r>
  <r>
    <d v="2026-02-14T00:00:00"/>
    <x v="1"/>
    <x v="2"/>
    <s v="Doctor Visit"/>
    <n v="3104"/>
    <x v="0"/>
  </r>
  <r>
    <d v="2026-02-14T00:00:00"/>
    <x v="1"/>
    <x v="1"/>
    <s v="Scholarship"/>
    <n v="6796"/>
    <x v="1"/>
  </r>
  <r>
    <d v="2026-02-18T00:00:00"/>
    <x v="1"/>
    <x v="1"/>
    <s v="Gift"/>
    <n v="15046"/>
    <x v="1"/>
  </r>
  <r>
    <d v="2026-02-19T00:00:00"/>
    <x v="1"/>
    <x v="1"/>
    <s v="Salary"/>
    <n v="3965"/>
    <x v="1"/>
  </r>
  <r>
    <d v="2026-02-19T00:00:00"/>
    <x v="1"/>
    <x v="2"/>
    <s v="Doctor Visit"/>
    <n v="1613"/>
    <x v="0"/>
  </r>
  <r>
    <d v="2026-02-19T00:00:00"/>
    <x v="1"/>
    <x v="2"/>
    <s v="Doctor Visit"/>
    <n v="4310"/>
    <x v="0"/>
  </r>
  <r>
    <d v="2026-02-20T00:00:00"/>
    <x v="1"/>
    <x v="1"/>
    <s v="Gift"/>
    <n v="4662"/>
    <x v="1"/>
  </r>
  <r>
    <d v="2026-02-20T00:00:00"/>
    <x v="1"/>
    <x v="2"/>
    <s v="Doctor Visit"/>
    <n v="410"/>
    <x v="0"/>
  </r>
  <r>
    <d v="2026-02-24T00:00:00"/>
    <x v="1"/>
    <x v="0"/>
    <s v="Lunch"/>
    <n v="4789"/>
    <x v="0"/>
  </r>
  <r>
    <d v="2026-02-24T00:00:00"/>
    <x v="1"/>
    <x v="2"/>
    <s v="Doctor Visit"/>
    <n v="1119"/>
    <x v="0"/>
  </r>
  <r>
    <d v="2026-02-25T00:00:00"/>
    <x v="1"/>
    <x v="0"/>
    <s v="Coffee"/>
    <n v="629"/>
    <x v="0"/>
  </r>
  <r>
    <d v="2026-02-25T00:00:00"/>
    <x v="1"/>
    <x v="6"/>
    <s v="Netflix"/>
    <n v="130"/>
    <x v="0"/>
  </r>
  <r>
    <d v="2026-02-25T00:00:00"/>
    <x v="1"/>
    <x v="1"/>
    <s v="Gift"/>
    <n v="15341"/>
    <x v="1"/>
  </r>
  <r>
    <d v="2026-02-26T00:00:00"/>
    <x v="1"/>
    <x v="4"/>
    <s v="Internet Bill"/>
    <n v="4157"/>
    <x v="0"/>
  </r>
  <r>
    <d v="2026-02-27T00:00:00"/>
    <x v="1"/>
    <x v="3"/>
    <s v="Course Fee"/>
    <n v="4087"/>
    <x v="0"/>
  </r>
  <r>
    <d v="2026-02-28T00:00:00"/>
    <x v="1"/>
    <x v="7"/>
    <s v="Clothes"/>
    <n v="3080"/>
    <x v="0"/>
  </r>
  <r>
    <d v="2026-03-02T00:00:00"/>
    <x v="2"/>
    <x v="3"/>
    <s v="Books"/>
    <n v="436"/>
    <x v="0"/>
  </r>
  <r>
    <d v="2026-03-05T00:00:00"/>
    <x v="2"/>
    <x v="1"/>
    <s v="Freelancing"/>
    <n v="10133"/>
    <x v="1"/>
  </r>
  <r>
    <d v="2026-03-05T00:00:00"/>
    <x v="2"/>
    <x v="0"/>
    <s v="Dinner"/>
    <n v="2174"/>
    <x v="0"/>
  </r>
  <r>
    <d v="2026-03-05T00:00:00"/>
    <x v="2"/>
    <x v="4"/>
    <s v="Mobile Recharge"/>
    <n v="3927"/>
    <x v="0"/>
  </r>
  <r>
    <d v="2026-03-05T00:00:00"/>
    <x v="2"/>
    <x v="4"/>
    <s v="Internet Bill"/>
    <n v="4993"/>
    <x v="0"/>
  </r>
  <r>
    <d v="2026-03-15T00:00:00"/>
    <x v="2"/>
    <x v="3"/>
    <s v="Books"/>
    <n v="1551"/>
    <x v="0"/>
  </r>
  <r>
    <d v="2026-03-17T00:00:00"/>
    <x v="2"/>
    <x v="5"/>
    <s v="Bus Fare"/>
    <n v="4784"/>
    <x v="0"/>
  </r>
  <r>
    <d v="2026-03-18T00:00:00"/>
    <x v="2"/>
    <x v="3"/>
    <s v="Stationery"/>
    <n v="2315"/>
    <x v="0"/>
  </r>
  <r>
    <d v="2026-03-20T00:00:00"/>
    <x v="2"/>
    <x v="5"/>
    <s v="Rickshaw"/>
    <n v="3105"/>
    <x v="0"/>
  </r>
  <r>
    <d v="2026-03-20T00:00:00"/>
    <x v="2"/>
    <x v="2"/>
    <s v="Doctor Visit"/>
    <n v="1330"/>
    <x v="0"/>
  </r>
  <r>
    <d v="2026-03-22T00:00:00"/>
    <x v="2"/>
    <x v="3"/>
    <s v="Stationery"/>
    <n v="4180"/>
    <x v="0"/>
  </r>
  <r>
    <d v="2026-03-23T00:00:00"/>
    <x v="2"/>
    <x v="4"/>
    <s v="Electricity Bill"/>
    <n v="3669"/>
    <x v="0"/>
  </r>
  <r>
    <d v="2026-03-24T00:00:00"/>
    <x v="2"/>
    <x v="1"/>
    <s v="Scholarship"/>
    <n v="4198"/>
    <x v="1"/>
  </r>
  <r>
    <d v="2026-03-26T00:00:00"/>
    <x v="2"/>
    <x v="1"/>
    <s v="Tuition"/>
    <n v="15185"/>
    <x v="1"/>
  </r>
  <r>
    <d v="2026-03-27T00:00:00"/>
    <x v="2"/>
    <x v="1"/>
    <s v="Tuition"/>
    <n v="7963"/>
    <x v="1"/>
  </r>
  <r>
    <d v="2026-03-29T00:00:00"/>
    <x v="2"/>
    <x v="5"/>
    <s v="Rickshaw"/>
    <n v="3259"/>
    <x v="0"/>
  </r>
  <r>
    <d v="2026-03-31T00:00:00"/>
    <x v="2"/>
    <x v="6"/>
    <s v="Gaming"/>
    <n v="3911"/>
    <x v="0"/>
  </r>
  <r>
    <d v="2026-03-31T00:00:00"/>
    <x v="2"/>
    <x v="6"/>
    <s v="Netflix"/>
    <n v="870"/>
    <x v="0"/>
  </r>
  <r>
    <d v="2026-04-02T00:00:00"/>
    <x v="3"/>
    <x v="6"/>
    <s v="Netflix"/>
    <n v="2265"/>
    <x v="0"/>
  </r>
  <r>
    <d v="2026-04-05T00:00:00"/>
    <x v="3"/>
    <x v="1"/>
    <s v="Scholarship"/>
    <n v="3106"/>
    <x v="1"/>
  </r>
  <r>
    <d v="2026-04-05T00:00:00"/>
    <x v="3"/>
    <x v="0"/>
    <s v="Burger"/>
    <n v="1437"/>
    <x v="0"/>
  </r>
  <r>
    <d v="2026-04-06T00:00:00"/>
    <x v="3"/>
    <x v="1"/>
    <s v="Tuition"/>
    <n v="5801"/>
    <x v="1"/>
  </r>
  <r>
    <d v="2026-04-06T00:00:00"/>
    <x v="3"/>
    <x v="3"/>
    <s v="Stationery"/>
    <n v="547"/>
    <x v="0"/>
  </r>
  <r>
    <d v="2026-04-13T00:00:00"/>
    <x v="3"/>
    <x v="2"/>
    <s v="Doctor Visit"/>
    <n v="4047"/>
    <x v="0"/>
  </r>
  <r>
    <d v="2026-04-13T00:00:00"/>
    <x v="3"/>
    <x v="4"/>
    <s v="Mobile Recharge"/>
    <n v="4936"/>
    <x v="0"/>
  </r>
  <r>
    <d v="2026-04-13T00:00:00"/>
    <x v="3"/>
    <x v="4"/>
    <s v="Mobile Recharge"/>
    <n v="2785"/>
    <x v="0"/>
  </r>
  <r>
    <d v="2026-04-13T00:00:00"/>
    <x v="3"/>
    <x v="1"/>
    <s v="Freelancing"/>
    <n v="5720"/>
    <x v="1"/>
  </r>
  <r>
    <d v="2026-04-16T00:00:00"/>
    <x v="3"/>
    <x v="6"/>
    <s v="Movie"/>
    <n v="1766"/>
    <x v="0"/>
  </r>
  <r>
    <d v="2026-04-16T00:00:00"/>
    <x v="3"/>
    <x v="1"/>
    <s v="Salary"/>
    <n v="8345"/>
    <x v="1"/>
  </r>
  <r>
    <d v="2026-04-19T00:00:00"/>
    <x v="3"/>
    <x v="3"/>
    <s v="Books"/>
    <n v="1508"/>
    <x v="0"/>
  </r>
  <r>
    <d v="2026-04-19T00:00:00"/>
    <x v="3"/>
    <x v="2"/>
    <s v="Doctor Visit"/>
    <n v="348"/>
    <x v="0"/>
  </r>
  <r>
    <d v="2026-04-20T00:00:00"/>
    <x v="3"/>
    <x v="1"/>
    <s v="Salary"/>
    <n v="16210"/>
    <x v="1"/>
  </r>
  <r>
    <d v="2026-04-21T00:00:00"/>
    <x v="3"/>
    <x v="1"/>
    <s v="Freelancing"/>
    <n v="11737"/>
    <x v="1"/>
  </r>
  <r>
    <d v="2026-04-26T00:00:00"/>
    <x v="3"/>
    <x v="2"/>
    <s v="Medicine"/>
    <n v="3225"/>
    <x v="0"/>
  </r>
  <r>
    <d v="2026-04-26T00:00:00"/>
    <x v="3"/>
    <x v="0"/>
    <s v="Lunch"/>
    <n v="53"/>
    <x v="0"/>
  </r>
  <r>
    <d v="2026-04-26T00:00:00"/>
    <x v="3"/>
    <x v="0"/>
    <s v="Coffee"/>
    <n v="3677"/>
    <x v="0"/>
  </r>
  <r>
    <d v="2026-04-28T00:00:00"/>
    <x v="3"/>
    <x v="1"/>
    <s v="Freelancing"/>
    <n v="19033"/>
    <x v="1"/>
  </r>
  <r>
    <d v="2026-04-29T00:00:00"/>
    <x v="3"/>
    <x v="6"/>
    <s v="Movie"/>
    <n v="3257"/>
    <x v="0"/>
  </r>
  <r>
    <d v="2026-05-01T00:00:00"/>
    <x v="4"/>
    <x v="7"/>
    <s v="Clothes"/>
    <n v="1313"/>
    <x v="0"/>
  </r>
  <r>
    <d v="2026-05-02T00:00:00"/>
    <x v="4"/>
    <x v="1"/>
    <s v="Scholarship"/>
    <n v="13944"/>
    <x v="1"/>
  </r>
  <r>
    <d v="2026-05-05T00:00:00"/>
    <x v="4"/>
    <x v="5"/>
    <s v="Train Ticket"/>
    <n v="2914"/>
    <x v="0"/>
  </r>
  <r>
    <d v="2026-05-06T00:00:00"/>
    <x v="4"/>
    <x v="6"/>
    <s v="Netflix"/>
    <n v="76"/>
    <x v="0"/>
  </r>
  <r>
    <d v="2026-05-06T00:00:00"/>
    <x v="4"/>
    <x v="5"/>
    <s v="Train Ticket"/>
    <n v="2003"/>
    <x v="0"/>
  </r>
  <r>
    <d v="2026-05-06T00:00:00"/>
    <x v="4"/>
    <x v="4"/>
    <s v="Internet Bill"/>
    <n v="2601"/>
    <x v="0"/>
  </r>
  <r>
    <d v="2026-05-13T00:00:00"/>
    <x v="4"/>
    <x v="1"/>
    <s v="Tuition"/>
    <n v="5064"/>
    <x v="1"/>
  </r>
  <r>
    <d v="2026-05-13T00:00:00"/>
    <x v="4"/>
    <x v="6"/>
    <s v="Gaming"/>
    <n v="2608"/>
    <x v="0"/>
  </r>
  <r>
    <d v="2026-05-14T00:00:00"/>
    <x v="4"/>
    <x v="5"/>
    <s v="Train Ticket"/>
    <n v="2149"/>
    <x v="0"/>
  </r>
  <r>
    <d v="2026-05-14T00:00:00"/>
    <x v="4"/>
    <x v="3"/>
    <s v="Books"/>
    <n v="4684"/>
    <x v="0"/>
  </r>
  <r>
    <d v="2026-05-16T00:00:00"/>
    <x v="4"/>
    <x v="1"/>
    <s v="Scholarship"/>
    <n v="4262"/>
    <x v="1"/>
  </r>
  <r>
    <d v="2026-05-17T00:00:00"/>
    <x v="4"/>
    <x v="5"/>
    <s v="Uber"/>
    <n v="4847"/>
    <x v="0"/>
  </r>
  <r>
    <d v="2026-05-19T00:00:00"/>
    <x v="4"/>
    <x v="1"/>
    <s v="Gift"/>
    <n v="3773"/>
    <x v="1"/>
  </r>
  <r>
    <d v="2026-05-21T00:00:00"/>
    <x v="4"/>
    <x v="1"/>
    <s v="Salary"/>
    <n v="14134"/>
    <x v="1"/>
  </r>
  <r>
    <d v="2026-05-22T00:00:00"/>
    <x v="4"/>
    <x v="4"/>
    <s v="Mobile Recharge"/>
    <n v="2137"/>
    <x v="0"/>
  </r>
  <r>
    <d v="2026-05-22T00:00:00"/>
    <x v="4"/>
    <x v="1"/>
    <s v="Scholarship"/>
    <n v="4555"/>
    <x v="1"/>
  </r>
  <r>
    <d v="2026-05-24T00:00:00"/>
    <x v="4"/>
    <x v="6"/>
    <s v="Netflix"/>
    <n v="3180"/>
    <x v="0"/>
  </r>
  <r>
    <d v="2026-05-25T00:00:00"/>
    <x v="4"/>
    <x v="6"/>
    <s v="Movie"/>
    <n v="3212"/>
    <x v="0"/>
  </r>
  <r>
    <d v="2026-05-26T00:00:00"/>
    <x v="4"/>
    <x v="6"/>
    <s v="Netflix"/>
    <n v="3985"/>
    <x v="0"/>
  </r>
  <r>
    <d v="2026-05-28T00:00:00"/>
    <x v="4"/>
    <x v="0"/>
    <s v="Coffee"/>
    <n v="813"/>
    <x v="0"/>
  </r>
  <r>
    <d v="2026-05-28T00:00:00"/>
    <x v="4"/>
    <x v="1"/>
    <s v="Salary"/>
    <n v="13336"/>
    <x v="1"/>
  </r>
  <r>
    <d v="2026-05-31T00:00:00"/>
    <x v="4"/>
    <x v="0"/>
    <s v="Dinner"/>
    <n v="3210"/>
    <x v="0"/>
  </r>
  <r>
    <d v="2026-06-01T00:00:00"/>
    <x v="5"/>
    <x v="7"/>
    <s v="Accessories"/>
    <n v="289"/>
    <x v="0"/>
  </r>
  <r>
    <d v="2026-06-02T00:00:00"/>
    <x v="5"/>
    <x v="6"/>
    <s v="Gaming"/>
    <n v="3868"/>
    <x v="0"/>
  </r>
  <r>
    <d v="2026-06-02T00:00:00"/>
    <x v="5"/>
    <x v="1"/>
    <s v="Scholarship"/>
    <n v="7268"/>
    <x v="1"/>
  </r>
  <r>
    <d v="2026-06-04T00:00:00"/>
    <x v="5"/>
    <x v="1"/>
    <s v="Tuition"/>
    <n v="12997"/>
    <x v="1"/>
  </r>
  <r>
    <d v="2026-06-04T00:00:00"/>
    <x v="5"/>
    <x v="3"/>
    <s v="Stationery"/>
    <n v="1533"/>
    <x v="0"/>
  </r>
  <r>
    <d v="2026-06-05T00:00:00"/>
    <x v="5"/>
    <x v="4"/>
    <s v="Mobile Recharge"/>
    <n v="4401"/>
    <x v="0"/>
  </r>
  <r>
    <d v="2026-06-06T00:00:00"/>
    <x v="5"/>
    <x v="1"/>
    <s v="Gift"/>
    <n v="10739"/>
    <x v="1"/>
  </r>
  <r>
    <d v="2026-06-13T00:00:00"/>
    <x v="5"/>
    <x v="5"/>
    <s v="Train Ticket"/>
    <n v="4846"/>
    <x v="0"/>
  </r>
  <r>
    <d v="2026-06-15T00:00:00"/>
    <x v="5"/>
    <x v="1"/>
    <s v="Freelancing"/>
    <n v="3943"/>
    <x v="1"/>
  </r>
  <r>
    <d v="2026-06-15T00:00:00"/>
    <x v="5"/>
    <x v="4"/>
    <s v="Internet Bill"/>
    <n v="4593"/>
    <x v="0"/>
  </r>
  <r>
    <d v="2026-06-16T00:00:00"/>
    <x v="5"/>
    <x v="3"/>
    <s v="Course Fee"/>
    <n v="2786"/>
    <x v="0"/>
  </r>
  <r>
    <d v="2026-06-17T00:00:00"/>
    <x v="5"/>
    <x v="2"/>
    <s v="Doctor Visit"/>
    <n v="4659"/>
    <x v="0"/>
  </r>
  <r>
    <d v="2026-06-18T00:00:00"/>
    <x v="5"/>
    <x v="4"/>
    <s v="Electricity Bill"/>
    <n v="2111"/>
    <x v="0"/>
  </r>
  <r>
    <d v="2026-06-18T00:00:00"/>
    <x v="5"/>
    <x v="6"/>
    <s v="Netflix"/>
    <n v="1241"/>
    <x v="0"/>
  </r>
  <r>
    <d v="2026-06-19T00:00:00"/>
    <x v="5"/>
    <x v="4"/>
    <s v="Mobile Recharge"/>
    <n v="2891"/>
    <x v="0"/>
  </r>
  <r>
    <d v="2026-06-19T00:00:00"/>
    <x v="5"/>
    <x v="4"/>
    <s v="Mobile Recharge"/>
    <n v="1441"/>
    <x v="0"/>
  </r>
  <r>
    <d v="2026-06-20T00:00:00"/>
    <x v="5"/>
    <x v="4"/>
    <s v="Internet Bill"/>
    <n v="928"/>
    <x v="0"/>
  </r>
  <r>
    <d v="2026-06-21T00:00:00"/>
    <x v="5"/>
    <x v="7"/>
    <s v="Shoes"/>
    <n v="1337"/>
    <x v="0"/>
  </r>
  <r>
    <d v="2026-06-22T00:00:00"/>
    <x v="5"/>
    <x v="2"/>
    <s v="Medicine"/>
    <n v="1331"/>
    <x v="0"/>
  </r>
  <r>
    <d v="2026-06-23T00:00:00"/>
    <x v="5"/>
    <x v="6"/>
    <s v="Gaming"/>
    <n v="735"/>
    <x v="0"/>
  </r>
  <r>
    <d v="2026-06-23T00:00:00"/>
    <x v="5"/>
    <x v="7"/>
    <s v="Accessories"/>
    <n v="4263"/>
    <x v="0"/>
  </r>
  <r>
    <d v="2026-06-24T00:00:00"/>
    <x v="5"/>
    <x v="0"/>
    <s v="Lunch"/>
    <n v="4618"/>
    <x v="0"/>
  </r>
  <r>
    <d v="2026-06-26T00:00:00"/>
    <x v="5"/>
    <x v="3"/>
    <s v="Stationery"/>
    <n v="1955"/>
    <x v="0"/>
  </r>
  <r>
    <d v="2026-06-26T00:00:00"/>
    <x v="5"/>
    <x v="6"/>
    <s v="Movie"/>
    <n v="2114"/>
    <x v="0"/>
  </r>
  <r>
    <d v="2026-06-26T00:00:00"/>
    <x v="5"/>
    <x v="2"/>
    <s v="Doctor Visit"/>
    <n v="4269"/>
    <x v="0"/>
  </r>
  <r>
    <d v="2026-06-27T00:00:00"/>
    <x v="5"/>
    <x v="2"/>
    <s v="Doctor Visit"/>
    <n v="2541"/>
    <x v="0"/>
  </r>
  <r>
    <d v="2026-06-27T00:00:00"/>
    <x v="5"/>
    <x v="6"/>
    <s v="Gaming"/>
    <n v="3829"/>
    <x v="0"/>
  </r>
  <r>
    <d v="2026-06-27T00:00:00"/>
    <x v="5"/>
    <x v="3"/>
    <s v="Stationery"/>
    <n v="4846"/>
    <x v="0"/>
  </r>
  <r>
    <d v="2026-06-27T00:00:00"/>
    <x v="5"/>
    <x v="2"/>
    <s v="Doctor Visit"/>
    <n v="4329"/>
    <x v="0"/>
  </r>
  <r>
    <d v="2026-06-28T00:00:00"/>
    <x v="5"/>
    <x v="5"/>
    <s v="Rickshaw"/>
    <n v="2122"/>
    <x v="0"/>
  </r>
  <r>
    <d v="2026-06-29T00:00:00"/>
    <x v="5"/>
    <x v="6"/>
    <s v="Gaming"/>
    <n v="2877"/>
    <x v="0"/>
  </r>
  <r>
    <d v="2026-06-29T00:00:00"/>
    <x v="5"/>
    <x v="7"/>
    <s v="Shoes"/>
    <n v="2630"/>
    <x v="0"/>
  </r>
  <r>
    <d v="2026-07-01T00:00:00"/>
    <x v="6"/>
    <x v="6"/>
    <s v="Movie"/>
    <n v="1731"/>
    <x v="0"/>
  </r>
  <r>
    <d v="2026-07-02T00:00:00"/>
    <x v="6"/>
    <x v="1"/>
    <s v="Gift"/>
    <n v="14738"/>
    <x v="1"/>
  </r>
  <r>
    <d v="2026-07-03T00:00:00"/>
    <x v="6"/>
    <x v="1"/>
    <s v="Freelancing"/>
    <n v="19903"/>
    <x v="1"/>
  </r>
  <r>
    <d v="2026-07-04T00:00:00"/>
    <x v="6"/>
    <x v="6"/>
    <s v="Movie"/>
    <n v="2916"/>
    <x v="0"/>
  </r>
  <r>
    <d v="2026-07-04T00:00:00"/>
    <x v="6"/>
    <x v="0"/>
    <s v="Coffee"/>
    <n v="2400"/>
    <x v="0"/>
  </r>
  <r>
    <d v="2026-07-06T00:00:00"/>
    <x v="6"/>
    <x v="1"/>
    <s v="Tuition"/>
    <n v="4944"/>
    <x v="1"/>
  </r>
  <r>
    <d v="2026-07-06T00:00:00"/>
    <x v="6"/>
    <x v="0"/>
    <s v="Burger"/>
    <n v="552"/>
    <x v="0"/>
  </r>
  <r>
    <d v="2026-08-01T00:00:00"/>
    <x v="7"/>
    <x v="2"/>
    <s v="Doctor Visit"/>
    <n v="2342"/>
    <x v="0"/>
  </r>
  <r>
    <d v="2026-08-01T00:00:00"/>
    <x v="7"/>
    <x v="1"/>
    <s v="Tuition"/>
    <n v="17850"/>
    <x v="1"/>
  </r>
  <r>
    <d v="2026-08-01T00:00:00"/>
    <x v="7"/>
    <x v="0"/>
    <s v="Burger"/>
    <n v="2345"/>
    <x v="0"/>
  </r>
  <r>
    <d v="2026-08-02T00:00:00"/>
    <x v="7"/>
    <x v="3"/>
    <s v="Stationery"/>
    <n v="1613"/>
    <x v="0"/>
  </r>
  <r>
    <d v="2026-08-03T00:00:00"/>
    <x v="7"/>
    <x v="0"/>
    <s v="Burger"/>
    <n v="2723"/>
    <x v="0"/>
  </r>
  <r>
    <d v="2026-08-03T00:00:00"/>
    <x v="7"/>
    <x v="1"/>
    <s v="Gift"/>
    <n v="6296"/>
    <x v="1"/>
  </r>
  <r>
    <d v="2026-08-05T00:00:00"/>
    <x v="7"/>
    <x v="4"/>
    <s v="Internet Bill"/>
    <n v="683"/>
    <x v="0"/>
  </r>
  <r>
    <d v="2026-08-05T00:00:00"/>
    <x v="7"/>
    <x v="5"/>
    <s v="Rickshaw"/>
    <n v="2480"/>
    <x v="0"/>
  </r>
  <r>
    <d v="2026-08-05T00:00:00"/>
    <x v="7"/>
    <x v="7"/>
    <s v="Clothes"/>
    <n v="1326"/>
    <x v="0"/>
  </r>
  <r>
    <d v="2026-09-01T00:00:00"/>
    <x v="8"/>
    <x v="6"/>
    <s v="Netflix"/>
    <n v="886"/>
    <x v="0"/>
  </r>
  <r>
    <d v="2026-09-02T00:00:00"/>
    <x v="8"/>
    <x v="0"/>
    <s v="Dinner"/>
    <n v="2538"/>
    <x v="0"/>
  </r>
  <r>
    <d v="2026-09-02T00:00:00"/>
    <x v="8"/>
    <x v="1"/>
    <s v="Salary"/>
    <n v="13477"/>
    <x v="1"/>
  </r>
  <r>
    <d v="2026-09-02T00:00:00"/>
    <x v="8"/>
    <x v="6"/>
    <s v="Gaming"/>
    <n v="208"/>
    <x v="0"/>
  </r>
  <r>
    <d v="2026-09-04T00:00:00"/>
    <x v="8"/>
    <x v="6"/>
    <s v="Gaming"/>
    <n v="3791"/>
    <x v="0"/>
  </r>
  <r>
    <d v="2026-09-05T00:00:00"/>
    <x v="8"/>
    <x v="1"/>
    <s v="Salary"/>
    <n v="18707"/>
    <x v="1"/>
  </r>
  <r>
    <d v="2026-09-05T00:00:00"/>
    <x v="8"/>
    <x v="2"/>
    <s v="Medicine"/>
    <n v="3401"/>
    <x v="0"/>
  </r>
  <r>
    <d v="2026-09-06T00:00:00"/>
    <x v="8"/>
    <x v="1"/>
    <s v="Freelancing"/>
    <n v="11158"/>
    <x v="1"/>
  </r>
  <r>
    <d v="2026-10-01T00:00:00"/>
    <x v="9"/>
    <x v="5"/>
    <s v="Rickshaw"/>
    <n v="1765"/>
    <x v="0"/>
  </r>
  <r>
    <d v="2026-10-02T00:00:00"/>
    <x v="9"/>
    <x v="6"/>
    <s v="Gaming"/>
    <n v="4974"/>
    <x v="0"/>
  </r>
  <r>
    <d v="2026-10-03T00:00:00"/>
    <x v="9"/>
    <x v="5"/>
    <s v="Train Ticket"/>
    <n v="1501"/>
    <x v="0"/>
  </r>
  <r>
    <d v="2026-10-03T00:00:00"/>
    <x v="9"/>
    <x v="2"/>
    <s v="Medicine"/>
    <n v="3095"/>
    <x v="0"/>
  </r>
  <r>
    <d v="2026-10-04T00:00:00"/>
    <x v="9"/>
    <x v="1"/>
    <s v="Gift"/>
    <n v="16179"/>
    <x v="1"/>
  </r>
  <r>
    <d v="2026-10-04T00:00:00"/>
    <x v="9"/>
    <x v="5"/>
    <s v="Uber"/>
    <n v="2323"/>
    <x v="0"/>
  </r>
  <r>
    <d v="2026-10-04T00:00:00"/>
    <x v="9"/>
    <x v="1"/>
    <s v="Tuition"/>
    <n v="6306"/>
    <x v="1"/>
  </r>
  <r>
    <d v="2026-10-04T00:00:00"/>
    <x v="9"/>
    <x v="7"/>
    <s v="Accessories"/>
    <n v="3581"/>
    <x v="0"/>
  </r>
  <r>
    <d v="2026-10-04T00:00:00"/>
    <x v="9"/>
    <x v="3"/>
    <s v="Stationery"/>
    <n v="2606"/>
    <x v="0"/>
  </r>
  <r>
    <d v="2026-10-05T00:00:00"/>
    <x v="9"/>
    <x v="0"/>
    <s v="Dinner"/>
    <n v="3009"/>
    <x v="0"/>
  </r>
  <r>
    <d v="2026-10-06T00:00:00"/>
    <x v="9"/>
    <x v="4"/>
    <s v="Electricity Bill"/>
    <n v="1151"/>
    <x v="0"/>
  </r>
  <r>
    <d v="2026-11-01T00:00:00"/>
    <x v="10"/>
    <x v="0"/>
    <s v="Snacks"/>
    <n v="3806"/>
    <x v="0"/>
  </r>
  <r>
    <d v="2026-11-01T00:00:00"/>
    <x v="10"/>
    <x v="6"/>
    <s v="Netflix"/>
    <n v="2866"/>
    <x v="0"/>
  </r>
  <r>
    <d v="2026-11-03T00:00:00"/>
    <x v="10"/>
    <x v="1"/>
    <s v="Salary"/>
    <n v="14410"/>
    <x v="1"/>
  </r>
  <r>
    <d v="2026-11-03T00:00:00"/>
    <x v="10"/>
    <x v="5"/>
    <s v="Rickshaw"/>
    <n v="2179"/>
    <x v="0"/>
  </r>
  <r>
    <d v="2026-11-05T00:00:00"/>
    <x v="10"/>
    <x v="4"/>
    <s v="Electricity Bill"/>
    <n v="4853"/>
    <x v="0"/>
  </r>
  <r>
    <d v="2026-11-05T00:00:00"/>
    <x v="10"/>
    <x v="3"/>
    <s v="Stationery"/>
    <n v="3158"/>
    <x v="0"/>
  </r>
  <r>
    <d v="2026-11-05T00:00:00"/>
    <x v="10"/>
    <x v="1"/>
    <s v="Salary"/>
    <n v="6776"/>
    <x v="1"/>
  </r>
  <r>
    <d v="2026-11-06T00:00:00"/>
    <x v="10"/>
    <x v="4"/>
    <s v="Internet Bill"/>
    <n v="1181"/>
    <x v="0"/>
  </r>
  <r>
    <d v="2026-12-01T00:00:00"/>
    <x v="11"/>
    <x v="1"/>
    <s v="Scholarship"/>
    <n v="7561"/>
    <x v="1"/>
  </r>
  <r>
    <d v="2026-12-01T00:00:00"/>
    <x v="11"/>
    <x v="6"/>
    <s v="Gaming"/>
    <n v="2391"/>
    <x v="0"/>
  </r>
  <r>
    <d v="2026-12-02T00:00:00"/>
    <x v="11"/>
    <x v="4"/>
    <s v="Mobile Recharge"/>
    <n v="585"/>
    <x v="0"/>
  </r>
  <r>
    <d v="2026-12-03T00:00:00"/>
    <x v="11"/>
    <x v="7"/>
    <s v="Cosmetics"/>
    <n v="803"/>
    <x v="0"/>
  </r>
  <r>
    <d v="2026-12-03T00:00:00"/>
    <x v="11"/>
    <x v="0"/>
    <s v="Coffee"/>
    <n v="4235"/>
    <x v="0"/>
  </r>
  <r>
    <d v="2026-12-05T00:00:00"/>
    <x v="11"/>
    <x v="5"/>
    <s v="Uber"/>
    <n v="1315"/>
    <x v="0"/>
  </r>
  <r>
    <d v="2026-12-05T00:00:00"/>
    <x v="11"/>
    <x v="1"/>
    <s v="Scholarship"/>
    <n v="297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DB057-6651-4D87-AB46-6B9F9803C623}"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1" firstHeaderRow="1" firstDataRow="1" firstDataCol="1" rowPageCount="1" colPageCount="1"/>
  <pivotFields count="7">
    <pivotField showAll="0"/>
    <pivotField showAll="0">
      <items count="13">
        <item x="0"/>
        <item x="1"/>
        <item x="2"/>
        <item x="3"/>
        <item x="4"/>
        <item x="5"/>
        <item x="6"/>
        <item x="7"/>
        <item x="8"/>
        <item x="9"/>
        <item x="10"/>
        <item x="11"/>
        <item t="default"/>
      </items>
    </pivotField>
    <pivotField axis="axisRow" showAll="0" sortType="ascending">
      <items count="9">
        <item x="4"/>
        <item x="3"/>
        <item x="6"/>
        <item x="0"/>
        <item x="2"/>
        <item x="1"/>
        <item x="7"/>
        <item x="5"/>
        <item t="default"/>
      </items>
      <autoSortScope>
        <pivotArea dataOnly="0" outline="0" fieldPosition="0">
          <references count="1">
            <reference field="4294967294" count="1" selected="0">
              <x v="0"/>
            </reference>
          </references>
        </pivotArea>
      </autoSortScope>
    </pivotField>
    <pivotField showAll="0"/>
    <pivotField dataField="1" showAll="0"/>
    <pivotField name="Type" axis="axisPage" multipleItemSelectionAllowed="1" showAll="0" defaultSubtotal="0">
      <items count="2">
        <item x="0"/>
        <item h="1" x="1"/>
      </items>
    </pivotField>
    <pivotField showAll="0">
      <items count="2">
        <item x="0"/>
        <item t="default"/>
      </items>
    </pivotField>
  </pivotFields>
  <rowFields count="1">
    <field x="2"/>
  </rowFields>
  <rowItems count="8">
    <i>
      <x v="6"/>
    </i>
    <i>
      <x v="1"/>
    </i>
    <i>
      <x v="7"/>
    </i>
    <i>
      <x v="4"/>
    </i>
    <i>
      <x/>
    </i>
    <i>
      <x v="3"/>
    </i>
    <i>
      <x v="2"/>
    </i>
    <i t="grand">
      <x/>
    </i>
  </rowItems>
  <colItems count="1">
    <i/>
  </colItems>
  <pageFields count="1">
    <pageField fld="5" hier="-1"/>
  </pageFields>
  <dataFields count="1">
    <dataField name="Sum of Amount" fld="4" baseField="0" baseItem="0" numFmtId="164"/>
  </dataFields>
  <formats count="1">
    <format dxfId="0">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0"/>
          </reference>
        </references>
      </pivotArea>
    </chartFormat>
    <chartFormat chart="10" format="26">
      <pivotArea type="data" outline="0" fieldPosition="0">
        <references count="2">
          <reference field="4294967294" count="1" selected="0">
            <x v="0"/>
          </reference>
          <reference field="2" count="1" selected="0">
            <x v="6"/>
          </reference>
        </references>
      </pivotArea>
    </chartFormat>
    <chartFormat chart="10" format="27">
      <pivotArea type="data" outline="0" fieldPosition="0">
        <references count="2">
          <reference field="4294967294" count="1" selected="0">
            <x v="0"/>
          </reference>
          <reference field="2" count="1" selected="0">
            <x v="1"/>
          </reference>
        </references>
      </pivotArea>
    </chartFormat>
    <chartFormat chart="10" format="28">
      <pivotArea type="data" outline="0" fieldPosition="0">
        <references count="2">
          <reference field="4294967294" count="1" selected="0">
            <x v="0"/>
          </reference>
          <reference field="2" count="1" selected="0">
            <x v="7"/>
          </reference>
        </references>
      </pivotArea>
    </chartFormat>
    <chartFormat chart="10" format="29">
      <pivotArea type="data" outline="0" fieldPosition="0">
        <references count="2">
          <reference field="4294967294" count="1" selected="0">
            <x v="0"/>
          </reference>
          <reference field="2" count="1" selected="0">
            <x v="4"/>
          </reference>
        </references>
      </pivotArea>
    </chartFormat>
    <chartFormat chart="10" format="30">
      <pivotArea type="data" outline="0" fieldPosition="0">
        <references count="2">
          <reference field="4294967294" count="1" selected="0">
            <x v="0"/>
          </reference>
          <reference field="2" count="1" selected="0">
            <x v="0"/>
          </reference>
        </references>
      </pivotArea>
    </chartFormat>
    <chartFormat chart="10" format="31">
      <pivotArea type="data" outline="0" fieldPosition="0">
        <references count="2">
          <reference field="4294967294" count="1" selected="0">
            <x v="0"/>
          </reference>
          <reference field="2" count="1" selected="0">
            <x v="3"/>
          </reference>
        </references>
      </pivotArea>
    </chartFormat>
    <chartFormat chart="10" format="3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D8734-AAFA-43DA-B9C5-CEEC9E637279}"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I2:J15" firstHeaderRow="1" firstDataRow="1" firstDataCol="1"/>
  <pivotFields count="4">
    <pivotField axis="axisRow" showAll="0">
      <items count="13">
        <item x="0"/>
        <item x="1"/>
        <item x="2"/>
        <item x="3"/>
        <item x="4"/>
        <item x="5"/>
        <item x="6"/>
        <item x="7"/>
        <item x="8"/>
        <item x="9"/>
        <item x="10"/>
        <item x="11"/>
        <item t="default"/>
      </items>
    </pivotField>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Savings" fld="3"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DBD237-8952-4CFC-8486-4B1C41468F66}"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2:G16" firstHeaderRow="1" firstDataRow="2" firstDataCol="1"/>
  <pivotFields count="7">
    <pivotField showAll="0"/>
    <pivotField axis="axisRow" showAll="0">
      <items count="13">
        <item x="0"/>
        <item x="1"/>
        <item x="2"/>
        <item x="3"/>
        <item x="4"/>
        <item x="5"/>
        <item x="6"/>
        <item x="7"/>
        <item x="8"/>
        <item x="9"/>
        <item x="10"/>
        <item x="11"/>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dataField="1" showAll="0"/>
    <pivotField name="Type" axis="axisCol" multipleItemSelectionAllowed="1" showAll="0" defaultSubtotal="0">
      <items count="2">
        <item x="0"/>
        <item x="1"/>
      </items>
    </pivotField>
    <pivotField showAll="0">
      <items count="2">
        <item x="0"/>
        <item t="default"/>
      </items>
    </pivotField>
  </pivotFields>
  <rowFields count="1">
    <field x="1"/>
  </rowFields>
  <rowItems count="13">
    <i>
      <x/>
    </i>
    <i>
      <x v="1"/>
    </i>
    <i>
      <x v="2"/>
    </i>
    <i>
      <x v="3"/>
    </i>
    <i>
      <x v="4"/>
    </i>
    <i>
      <x v="5"/>
    </i>
    <i>
      <x v="6"/>
    </i>
    <i>
      <x v="7"/>
    </i>
    <i>
      <x v="8"/>
    </i>
    <i>
      <x v="9"/>
    </i>
    <i>
      <x v="10"/>
    </i>
    <i>
      <x v="11"/>
    </i>
    <i t="grand">
      <x/>
    </i>
  </rowItems>
  <colFields count="1">
    <field x="5"/>
  </colFields>
  <colItems count="3">
    <i>
      <x/>
    </i>
    <i>
      <x v="1"/>
    </i>
    <i t="grand">
      <x/>
    </i>
  </colItems>
  <dataFields count="1">
    <dataField name="Sum of Amount" fld="4" baseField="0" baseItem="0" numFmtId="164"/>
  </dataFields>
  <formats count="1">
    <format dxfId="1">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5" format="2" series="1">
      <pivotArea type="data" outline="0" fieldPosition="0">
        <references count="2">
          <reference field="4294967294" count="1" selected="0">
            <x v="0"/>
          </reference>
          <reference field="5" count="1" selected="0">
            <x v="0"/>
          </reference>
        </references>
      </pivotArea>
    </chartFormat>
    <chartFormat chart="5" format="3"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E887A-D1D1-40CB-83DF-25EAE3F9C93E}"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16:B18" firstHeaderRow="1" firstDataRow="1" firstDataCol="1" rowPageCount="1" colPageCount="1"/>
  <pivotFields count="7">
    <pivotField showAll="0"/>
    <pivotField showAll="0">
      <items count="13">
        <item x="0"/>
        <item x="1"/>
        <item x="2"/>
        <item x="3"/>
        <item x="4"/>
        <item x="5"/>
        <item x="6"/>
        <item x="7"/>
        <item x="8"/>
        <item x="9"/>
        <item x="10"/>
        <item x="11"/>
        <item t="default"/>
      </items>
    </pivotField>
    <pivotField axis="axisRow" showAll="0">
      <items count="9">
        <item x="4"/>
        <item x="3"/>
        <item x="6"/>
        <item x="0"/>
        <item x="2"/>
        <item x="1"/>
        <item x="7"/>
        <item x="5"/>
        <item t="default"/>
      </items>
    </pivotField>
    <pivotField showAll="0"/>
    <pivotField dataField="1" showAll="0"/>
    <pivotField axis="axisPage" multipleItemSelectionAllowed="1" showAll="0">
      <items count="3">
        <item h="1" x="0"/>
        <item x="1"/>
        <item t="default"/>
      </items>
    </pivotField>
    <pivotField showAll="0">
      <items count="2">
        <item x="0"/>
        <item t="default"/>
      </items>
    </pivotField>
  </pivotFields>
  <rowFields count="1">
    <field x="2"/>
  </rowFields>
  <rowItems count="2">
    <i>
      <x v="5"/>
    </i>
    <i t="grand">
      <x/>
    </i>
  </rowItems>
  <colItems count="1">
    <i/>
  </colItems>
  <pageFields count="1">
    <pageField fld="5" hier="-1"/>
  </pageFields>
  <dataFields count="1">
    <dataField name="Sum of Amount" fld="4" baseField="0" baseItem="0" numFmtId="164"/>
  </dataFields>
  <formats count="1">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2" count="1" selected="0">
            <x v="5"/>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5"/>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0AAAD5-20C0-4628-90F4-0C962EAF4705}" sourceName="Category">
  <pivotTables>
    <pivotTable tabId="6" name="PivotTable4"/>
  </pivotTables>
  <data>
    <tabular pivotCacheId="1514546831">
      <items count="8">
        <i x="4" s="1"/>
        <i x="3" s="1"/>
        <i x="6" s="1"/>
        <i x="0" s="1"/>
        <i x="2" s="1"/>
        <i x="7" s="1"/>
        <i x="5" s="1"/>
        <i x="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770DCBE-7EB5-4177-A9C2-24011A599EEC}" sourceName="Months">
  <pivotTables>
    <pivotTable tabId="6" name="PivotTable4"/>
    <pivotTable tabId="6" name="PivotTable3"/>
    <pivotTable tabId="6" name="PivotTable5"/>
  </pivotTables>
  <data>
    <tabular pivotCacheId="151454683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1CAE998-7F4F-44C7-80BD-44CA5A78C15C}" sourceName="Type">
  <pivotTables>
    <pivotTable tabId="6" name="PivotTable4"/>
  </pivotTables>
  <data>
    <tabular pivotCacheId="151454683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5D585A77-0104-48EB-8DAB-B23DF8A43EED}"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6AE1AED-DE58-414A-B365-FB341CB96023}" cache="Slicer_Category" caption="Category" columnCount="2" style="New " rowHeight="234950"/>
  <slicer name="Months" xr10:uid="{E5F3616B-DDE6-4059-A4A9-7CD05FA7F412}" cache="Slicer_Months" caption="Months" columnCount="4" style="New " rowHeight="234950"/>
  <slicer name="Type 1" xr10:uid="{E8579319-7464-431E-8FE5-7976AAE5629C}" cache="Slicer_Type" caption="Type" columnCount="2" style="New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F67075-FCCC-4EF2-9A24-FEB188D3861B}" name="Table1" displayName="Table1" ref="A1:F201" totalsRowShown="0" headerRowDxfId="8">
  <autoFilter ref="A1:F201" xr:uid="{53F67075-FCCC-4EF2-9A24-FEB188D3861B}"/>
  <sortState xmlns:xlrd2="http://schemas.microsoft.com/office/spreadsheetml/2017/richdata2" ref="A2:F201">
    <sortCondition ref="A2:A201" customList="Jan,Feb,Mar,Apr,May,Jun,Jul,Aug,Sep,Oct,Nov,Dec"/>
  </sortState>
  <tableColumns count="6">
    <tableColumn id="1" xr3:uid="{90F1A813-00DB-431F-991B-9F319EA48FF2}" name="Date"/>
    <tableColumn id="6" xr3:uid="{1CCA4970-D5E7-4500-8B8F-A6F3633E177C}" name="Months" dataDxfId="7">
      <calculatedColumnFormula>TEXT(Table1[[#This Row],[Date]],"mmm")</calculatedColumnFormula>
    </tableColumn>
    <tableColumn id="2" xr3:uid="{B62B97B6-CCBF-45F7-9B87-F22C42A48482}" name="Category"/>
    <tableColumn id="3" xr3:uid="{8FFB268D-3C6E-47EA-A978-6244CC088314}" name="Description"/>
    <tableColumn id="4" xr3:uid="{648684AE-C3AC-4FFF-B631-4C4F8C7F8F29}" name="Amount"/>
    <tableColumn id="5" xr3:uid="{9170287F-A3E7-4E79-811E-8856B477A8D2}" name="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844BE9-68A3-4B97-8492-117D143D3A1C}" name="Table5" displayName="Table5" ref="G1:I201" totalsRowShown="0" headerRowDxfId="6" tableBorderDxfId="5">
  <autoFilter ref="G1:I201" xr:uid="{74844BE9-68A3-4B97-8492-117D143D3A1C}"/>
  <tableColumns count="3">
    <tableColumn id="1" xr3:uid="{6C146A2D-7B34-4E5E-B90F-6194CD5E6025}" name="Expenses" dataDxfId="4">
      <calculatedColumnFormula>SUMIF(Table1[[#This Row],[Type]],"Expense",Table1[[#This Row],[Amount]])</calculatedColumnFormula>
    </tableColumn>
    <tableColumn id="2" xr3:uid="{3F4CCD36-9227-455C-BF88-1279590DBD6E}" name="Income" dataDxfId="3">
      <calculatedColumnFormula>SUMIF(F2,"Income",E2)</calculatedColumnFormula>
    </tableColumn>
    <tableColumn id="3" xr3:uid="{60CFEE39-A1F8-4178-B734-91872E741711}" name="Savings">
      <calculatedColumnFormula>H2-G2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01"/>
  <sheetViews>
    <sheetView zoomScaleNormal="100" workbookViewId="0">
      <selection activeCell="M19" sqref="M19"/>
    </sheetView>
  </sheetViews>
  <sheetFormatPr defaultRowHeight="14.4" x14ac:dyDescent="0.3"/>
  <cols>
    <col min="1" max="1" width="15" customWidth="1"/>
    <col min="2" max="2" width="18" customWidth="1"/>
    <col min="3" max="3" width="22" customWidth="1"/>
    <col min="4" max="5" width="12" customWidth="1"/>
    <col min="7" max="7" width="10.5546875" customWidth="1"/>
    <col min="8" max="9" width="9.21875" customWidth="1"/>
    <col min="11" max="11" width="13.5546875" customWidth="1"/>
    <col min="12" max="12" width="14.5546875" bestFit="1" customWidth="1"/>
  </cols>
  <sheetData>
    <row r="1" spans="1:12" x14ac:dyDescent="0.3">
      <c r="A1" s="6" t="s">
        <v>0</v>
      </c>
      <c r="B1" s="7" t="s">
        <v>50</v>
      </c>
      <c r="C1" s="6" t="s">
        <v>1</v>
      </c>
      <c r="D1" s="6" t="s">
        <v>2</v>
      </c>
      <c r="E1" s="6" t="s">
        <v>3</v>
      </c>
      <c r="F1" s="6" t="s">
        <v>4</v>
      </c>
      <c r="G1" s="8" t="s">
        <v>65</v>
      </c>
      <c r="H1" s="8" t="s">
        <v>10</v>
      </c>
      <c r="I1" s="8" t="s">
        <v>64</v>
      </c>
      <c r="K1" s="5" t="s">
        <v>43</v>
      </c>
      <c r="L1" s="11">
        <f>SUMIF(Raw_Data!F2:F201,"Income",Raw_Data!E2:E201)</f>
        <v>514969</v>
      </c>
    </row>
    <row r="2" spans="1:12" x14ac:dyDescent="0.3">
      <c r="A2" s="3">
        <v>46023</v>
      </c>
      <c r="B2" s="3" t="str">
        <f>TEXT(Table1[[#This Row],[Date]],"mmm")</f>
        <v>Jan</v>
      </c>
      <c r="C2" s="9" t="s">
        <v>18</v>
      </c>
      <c r="D2" t="s">
        <v>25</v>
      </c>
      <c r="E2">
        <v>1550</v>
      </c>
      <c r="F2" t="s">
        <v>7</v>
      </c>
      <c r="G2">
        <f>SUMIF(Table1[[#This Row],[Type]],"Expense",Table1[[#This Row],[Amount]])</f>
        <v>1550</v>
      </c>
      <c r="H2">
        <f t="shared" ref="H2:H33" si="0">SUMIF(F2,"Income",E2)</f>
        <v>0</v>
      </c>
      <c r="I2">
        <f t="shared" ref="I2:I33" si="1">H2-G2</f>
        <v>-1550</v>
      </c>
      <c r="K2" s="10" t="s">
        <v>44</v>
      </c>
      <c r="L2" s="11">
        <f>SUMIF(Table1[Type],"Expense",Table1[Amount])</f>
        <v>365759</v>
      </c>
    </row>
    <row r="3" spans="1:12" x14ac:dyDescent="0.3">
      <c r="A3" s="3">
        <v>46023</v>
      </c>
      <c r="B3" s="3" t="str">
        <f>TEXT(Table1[[#This Row],[Date]],"mmm")</f>
        <v>Jan</v>
      </c>
      <c r="C3" t="s">
        <v>10</v>
      </c>
      <c r="D3" t="s">
        <v>12</v>
      </c>
      <c r="E3">
        <v>9837</v>
      </c>
      <c r="F3" t="s">
        <v>10</v>
      </c>
      <c r="G3">
        <f>SUMIF(Table1[[#This Row],[Type]],"Expense",Table1[[#This Row],[Amount]])</f>
        <v>0</v>
      </c>
      <c r="H3">
        <f t="shared" si="0"/>
        <v>9837</v>
      </c>
      <c r="I3">
        <f t="shared" si="1"/>
        <v>9837</v>
      </c>
      <c r="K3" s="10" t="s">
        <v>45</v>
      </c>
      <c r="L3" s="11">
        <f>L1-L2</f>
        <v>149210</v>
      </c>
    </row>
    <row r="4" spans="1:12" x14ac:dyDescent="0.3">
      <c r="A4" s="3">
        <v>46023</v>
      </c>
      <c r="B4" s="3" t="str">
        <f>TEXT(Table1[[#This Row],[Date]],"mmm")</f>
        <v>Jan</v>
      </c>
      <c r="C4" t="s">
        <v>18</v>
      </c>
      <c r="D4" t="s">
        <v>25</v>
      </c>
      <c r="E4">
        <v>2930</v>
      </c>
      <c r="F4" t="s">
        <v>7</v>
      </c>
      <c r="G4">
        <f>SUMIF(Table1[[#This Row],[Type]],"Expense",Table1[[#This Row],[Amount]])</f>
        <v>2930</v>
      </c>
      <c r="H4">
        <f t="shared" si="0"/>
        <v>0</v>
      </c>
      <c r="I4">
        <f t="shared" si="1"/>
        <v>-2930</v>
      </c>
    </row>
    <row r="5" spans="1:12" x14ac:dyDescent="0.3">
      <c r="A5" s="3">
        <v>46023</v>
      </c>
      <c r="B5" s="3" t="str">
        <f>TEXT(Table1[[#This Row],[Date]],"mmm")</f>
        <v>Jan</v>
      </c>
      <c r="C5" t="s">
        <v>8</v>
      </c>
      <c r="D5" t="s">
        <v>9</v>
      </c>
      <c r="E5">
        <v>886</v>
      </c>
      <c r="F5" t="s">
        <v>7</v>
      </c>
      <c r="G5">
        <f>SUMIF(Table1[[#This Row],[Type]],"Expense",Table1[[#This Row],[Amount]])</f>
        <v>886</v>
      </c>
      <c r="H5">
        <f t="shared" si="0"/>
        <v>0</v>
      </c>
      <c r="I5">
        <f t="shared" si="1"/>
        <v>-886</v>
      </c>
    </row>
    <row r="6" spans="1:12" x14ac:dyDescent="0.3">
      <c r="A6" s="3">
        <v>46023</v>
      </c>
      <c r="B6" s="3" t="str">
        <f>TEXT(Table1[[#This Row],[Date]],"mmm")</f>
        <v>Jan</v>
      </c>
      <c r="C6" t="s">
        <v>5</v>
      </c>
      <c r="D6" t="s">
        <v>6</v>
      </c>
      <c r="E6">
        <v>1718</v>
      </c>
      <c r="F6" t="s">
        <v>7</v>
      </c>
      <c r="G6">
        <f>SUMIF(Table1[[#This Row],[Type]],"Expense",Table1[[#This Row],[Amount]])</f>
        <v>1718</v>
      </c>
      <c r="H6">
        <f t="shared" si="0"/>
        <v>0</v>
      </c>
      <c r="I6">
        <f t="shared" si="1"/>
        <v>-1718</v>
      </c>
    </row>
    <row r="7" spans="1:12" x14ac:dyDescent="0.3">
      <c r="A7" s="3">
        <v>46024</v>
      </c>
      <c r="B7" s="3" t="str">
        <f>TEXT(Table1[[#This Row],[Date]],"mmm")</f>
        <v>Jan</v>
      </c>
      <c r="C7" t="s">
        <v>10</v>
      </c>
      <c r="D7" t="s">
        <v>17</v>
      </c>
      <c r="E7">
        <v>8720</v>
      </c>
      <c r="F7" t="s">
        <v>10</v>
      </c>
      <c r="G7">
        <f>SUMIF(Table1[[#This Row],[Type]],"Expense",Table1[[#This Row],[Amount]])</f>
        <v>0</v>
      </c>
      <c r="H7">
        <f t="shared" si="0"/>
        <v>8720</v>
      </c>
      <c r="I7">
        <f t="shared" si="1"/>
        <v>8720</v>
      </c>
    </row>
    <row r="8" spans="1:12" x14ac:dyDescent="0.3">
      <c r="A8" s="3">
        <v>46026</v>
      </c>
      <c r="B8" s="3" t="str">
        <f>TEXT(Table1[[#This Row],[Date]],"mmm")</f>
        <v>Jan</v>
      </c>
      <c r="C8" t="s">
        <v>5</v>
      </c>
      <c r="D8" t="s">
        <v>6</v>
      </c>
      <c r="E8">
        <v>4896</v>
      </c>
      <c r="F8" t="s">
        <v>7</v>
      </c>
      <c r="G8">
        <f>SUMIF(Table1[[#This Row],[Type]],"Expense",Table1[[#This Row],[Amount]])</f>
        <v>4896</v>
      </c>
      <c r="H8">
        <f t="shared" si="0"/>
        <v>0</v>
      </c>
      <c r="I8">
        <f t="shared" si="1"/>
        <v>-4896</v>
      </c>
    </row>
    <row r="9" spans="1:12" x14ac:dyDescent="0.3">
      <c r="A9" s="3">
        <v>46027</v>
      </c>
      <c r="B9" s="3" t="str">
        <f>TEXT(Table1[[#This Row],[Date]],"mmm")</f>
        <v>Jan</v>
      </c>
      <c r="C9" t="s">
        <v>10</v>
      </c>
      <c r="D9" t="s">
        <v>11</v>
      </c>
      <c r="E9">
        <v>9899</v>
      </c>
      <c r="F9" t="s">
        <v>10</v>
      </c>
      <c r="G9">
        <f>SUMIF(Table1[[#This Row],[Type]],"Expense",Table1[[#This Row],[Amount]])</f>
        <v>0</v>
      </c>
      <c r="H9">
        <f t="shared" si="0"/>
        <v>9899</v>
      </c>
      <c r="I9">
        <f t="shared" si="1"/>
        <v>9899</v>
      </c>
    </row>
    <row r="10" spans="1:12" x14ac:dyDescent="0.3">
      <c r="A10" s="3">
        <v>46028</v>
      </c>
      <c r="B10" s="3" t="str">
        <f>TEXT(Table1[[#This Row],[Date]],"mmm")</f>
        <v>Jan</v>
      </c>
      <c r="C10" t="s">
        <v>15</v>
      </c>
      <c r="D10" t="s">
        <v>40</v>
      </c>
      <c r="E10">
        <v>2899</v>
      </c>
      <c r="F10" t="s">
        <v>7</v>
      </c>
      <c r="G10">
        <f>SUMIF(Table1[[#This Row],[Type]],"Expense",Table1[[#This Row],[Amount]])</f>
        <v>2899</v>
      </c>
      <c r="H10">
        <f t="shared" si="0"/>
        <v>0</v>
      </c>
      <c r="I10">
        <f t="shared" si="1"/>
        <v>-2899</v>
      </c>
    </row>
    <row r="11" spans="1:12" x14ac:dyDescent="0.3">
      <c r="A11" s="3">
        <v>46035</v>
      </c>
      <c r="B11" s="3" t="str">
        <f>TEXT(Table1[[#This Row],[Date]],"mmm")</f>
        <v>Jan</v>
      </c>
      <c r="C11" t="s">
        <v>18</v>
      </c>
      <c r="D11" t="s">
        <v>29</v>
      </c>
      <c r="E11">
        <v>4809</v>
      </c>
      <c r="F11" t="s">
        <v>7</v>
      </c>
      <c r="G11">
        <f>SUMIF(Table1[[#This Row],[Type]],"Expense",Table1[[#This Row],[Amount]])</f>
        <v>4809</v>
      </c>
      <c r="H11">
        <f t="shared" si="0"/>
        <v>0</v>
      </c>
      <c r="I11">
        <f t="shared" si="1"/>
        <v>-4809</v>
      </c>
    </row>
    <row r="12" spans="1:12" x14ac:dyDescent="0.3">
      <c r="A12" s="3">
        <v>46036</v>
      </c>
      <c r="B12" s="3" t="str">
        <f>TEXT(Table1[[#This Row],[Date]],"mmm")</f>
        <v>Jan</v>
      </c>
      <c r="C12" t="s">
        <v>20</v>
      </c>
      <c r="D12" t="s">
        <v>32</v>
      </c>
      <c r="E12">
        <v>1230</v>
      </c>
      <c r="F12" t="s">
        <v>7</v>
      </c>
      <c r="G12">
        <f>SUMIF(Table1[[#This Row],[Type]],"Expense",Table1[[#This Row],[Amount]])</f>
        <v>1230</v>
      </c>
      <c r="H12">
        <f t="shared" si="0"/>
        <v>0</v>
      </c>
      <c r="I12">
        <f t="shared" si="1"/>
        <v>-1230</v>
      </c>
    </row>
    <row r="13" spans="1:12" x14ac:dyDescent="0.3">
      <c r="A13" s="3">
        <v>46037</v>
      </c>
      <c r="B13" s="3" t="str">
        <f>TEXT(Table1[[#This Row],[Date]],"mmm")</f>
        <v>Jan</v>
      </c>
      <c r="C13" t="s">
        <v>10</v>
      </c>
      <c r="D13" t="s">
        <v>26</v>
      </c>
      <c r="E13">
        <v>16461</v>
      </c>
      <c r="F13" t="s">
        <v>10</v>
      </c>
      <c r="G13">
        <f>SUMIF(Table1[[#This Row],[Type]],"Expense",Table1[[#This Row],[Amount]])</f>
        <v>0</v>
      </c>
      <c r="H13">
        <f t="shared" si="0"/>
        <v>16461</v>
      </c>
      <c r="I13">
        <f t="shared" si="1"/>
        <v>16461</v>
      </c>
    </row>
    <row r="14" spans="1:12" x14ac:dyDescent="0.3">
      <c r="A14" s="3">
        <v>46037</v>
      </c>
      <c r="B14" s="3" t="str">
        <f>TEXT(Table1[[#This Row],[Date]],"mmm")</f>
        <v>Jan</v>
      </c>
      <c r="C14" t="s">
        <v>18</v>
      </c>
      <c r="D14" t="s">
        <v>35</v>
      </c>
      <c r="E14">
        <v>736</v>
      </c>
      <c r="F14" t="s">
        <v>7</v>
      </c>
      <c r="G14">
        <f>SUMIF(Table1[[#This Row],[Type]],"Expense",Table1[[#This Row],[Amount]])</f>
        <v>736</v>
      </c>
      <c r="H14">
        <f t="shared" si="0"/>
        <v>0</v>
      </c>
      <c r="I14">
        <f t="shared" si="1"/>
        <v>-736</v>
      </c>
    </row>
    <row r="15" spans="1:12" x14ac:dyDescent="0.3">
      <c r="A15" s="3">
        <v>46038</v>
      </c>
      <c r="B15" s="3" t="str">
        <f>TEXT(Table1[[#This Row],[Date]],"mmm")</f>
        <v>Jan</v>
      </c>
      <c r="C15" t="s">
        <v>18</v>
      </c>
      <c r="D15" t="s">
        <v>29</v>
      </c>
      <c r="E15">
        <v>3732</v>
      </c>
      <c r="F15" t="s">
        <v>7</v>
      </c>
      <c r="G15">
        <f>SUMIF(Table1[[#This Row],[Type]],"Expense",Table1[[#This Row],[Amount]])</f>
        <v>3732</v>
      </c>
      <c r="H15">
        <f t="shared" si="0"/>
        <v>0</v>
      </c>
      <c r="I15">
        <f t="shared" si="1"/>
        <v>-3732</v>
      </c>
    </row>
    <row r="16" spans="1:12" x14ac:dyDescent="0.3">
      <c r="A16" s="3">
        <v>46038</v>
      </c>
      <c r="B16" s="3" t="str">
        <f>TEXT(Table1[[#This Row],[Date]],"mmm")</f>
        <v>Jan</v>
      </c>
      <c r="C16" t="s">
        <v>13</v>
      </c>
      <c r="D16" t="s">
        <v>30</v>
      </c>
      <c r="E16">
        <v>3966</v>
      </c>
      <c r="F16" t="s">
        <v>7</v>
      </c>
      <c r="G16">
        <f>SUMIF(Table1[[#This Row],[Type]],"Expense",Table1[[#This Row],[Amount]])</f>
        <v>3966</v>
      </c>
      <c r="H16">
        <f t="shared" si="0"/>
        <v>0</v>
      </c>
      <c r="I16">
        <f t="shared" si="1"/>
        <v>-3966</v>
      </c>
    </row>
    <row r="17" spans="1:9" x14ac:dyDescent="0.3">
      <c r="A17" s="3">
        <v>46038</v>
      </c>
      <c r="B17" s="3" t="str">
        <f>TEXT(Table1[[#This Row],[Date]],"mmm")</f>
        <v>Jan</v>
      </c>
      <c r="C17" t="s">
        <v>15</v>
      </c>
      <c r="D17" t="s">
        <v>40</v>
      </c>
      <c r="E17">
        <v>2039</v>
      </c>
      <c r="F17" t="s">
        <v>7</v>
      </c>
      <c r="G17">
        <f>SUMIF(Table1[[#This Row],[Type]],"Expense",Table1[[#This Row],[Amount]])</f>
        <v>2039</v>
      </c>
      <c r="H17">
        <f t="shared" si="0"/>
        <v>0</v>
      </c>
      <c r="I17">
        <f t="shared" si="1"/>
        <v>-2039</v>
      </c>
    </row>
    <row r="18" spans="1:9" x14ac:dyDescent="0.3">
      <c r="A18" s="3">
        <v>46039</v>
      </c>
      <c r="B18" s="3" t="str">
        <f>TEXT(Table1[[#This Row],[Date]],"mmm")</f>
        <v>Jan</v>
      </c>
      <c r="C18" t="s">
        <v>18</v>
      </c>
      <c r="D18" t="s">
        <v>25</v>
      </c>
      <c r="E18">
        <v>424</v>
      </c>
      <c r="F18" t="s">
        <v>7</v>
      </c>
      <c r="G18">
        <f>SUMIF(Table1[[#This Row],[Type]],"Expense",Table1[[#This Row],[Amount]])</f>
        <v>424</v>
      </c>
      <c r="H18">
        <f t="shared" si="0"/>
        <v>0</v>
      </c>
      <c r="I18">
        <f t="shared" si="1"/>
        <v>-424</v>
      </c>
    </row>
    <row r="19" spans="1:9" x14ac:dyDescent="0.3">
      <c r="A19" s="3">
        <v>46041</v>
      </c>
      <c r="B19" s="3" t="str">
        <f>TEXT(Table1[[#This Row],[Date]],"mmm")</f>
        <v>Jan</v>
      </c>
      <c r="C19" t="s">
        <v>15</v>
      </c>
      <c r="D19" t="s">
        <v>40</v>
      </c>
      <c r="E19">
        <v>275</v>
      </c>
      <c r="F19" t="s">
        <v>7</v>
      </c>
      <c r="G19">
        <f>SUMIF(Table1[[#This Row],[Type]],"Expense",Table1[[#This Row],[Amount]])</f>
        <v>275</v>
      </c>
      <c r="H19">
        <f t="shared" si="0"/>
        <v>0</v>
      </c>
      <c r="I19">
        <f t="shared" si="1"/>
        <v>-275</v>
      </c>
    </row>
    <row r="20" spans="1:9" x14ac:dyDescent="0.3">
      <c r="A20" s="3">
        <v>46041</v>
      </c>
      <c r="B20" s="3" t="str">
        <f>TEXT(Table1[[#This Row],[Date]],"mmm")</f>
        <v>Jan</v>
      </c>
      <c r="C20" t="s">
        <v>8</v>
      </c>
      <c r="D20" t="s">
        <v>9</v>
      </c>
      <c r="E20">
        <v>4815</v>
      </c>
      <c r="F20" t="s">
        <v>7</v>
      </c>
      <c r="G20">
        <f>SUMIF(Table1[[#This Row],[Type]],"Expense",Table1[[#This Row],[Amount]])</f>
        <v>4815</v>
      </c>
      <c r="H20">
        <f t="shared" si="0"/>
        <v>0</v>
      </c>
      <c r="I20">
        <f t="shared" si="1"/>
        <v>-4815</v>
      </c>
    </row>
    <row r="21" spans="1:9" x14ac:dyDescent="0.3">
      <c r="A21" s="3">
        <v>46042</v>
      </c>
      <c r="B21" s="3" t="str">
        <f>TEXT(Table1[[#This Row],[Date]],"mmm")</f>
        <v>Jan</v>
      </c>
      <c r="C21" t="s">
        <v>10</v>
      </c>
      <c r="D21" t="s">
        <v>17</v>
      </c>
      <c r="E21">
        <v>17144</v>
      </c>
      <c r="F21" t="s">
        <v>10</v>
      </c>
      <c r="G21">
        <f>SUMIF(Table1[[#This Row],[Type]],"Expense",Table1[[#This Row],[Amount]])</f>
        <v>0</v>
      </c>
      <c r="H21">
        <f t="shared" si="0"/>
        <v>17144</v>
      </c>
      <c r="I21">
        <f t="shared" si="1"/>
        <v>17144</v>
      </c>
    </row>
    <row r="22" spans="1:9" x14ac:dyDescent="0.3">
      <c r="A22" s="3">
        <v>46043</v>
      </c>
      <c r="B22" s="3" t="str">
        <f>TEXT(Table1[[#This Row],[Date]],"mmm")</f>
        <v>Jan</v>
      </c>
      <c r="C22" t="s">
        <v>13</v>
      </c>
      <c r="D22" t="s">
        <v>14</v>
      </c>
      <c r="E22">
        <v>119</v>
      </c>
      <c r="F22" t="s">
        <v>7</v>
      </c>
      <c r="G22">
        <f>SUMIF(Table1[[#This Row],[Type]],"Expense",Table1[[#This Row],[Amount]])</f>
        <v>119</v>
      </c>
      <c r="H22">
        <f t="shared" si="0"/>
        <v>0</v>
      </c>
      <c r="I22">
        <f t="shared" si="1"/>
        <v>-119</v>
      </c>
    </row>
    <row r="23" spans="1:9" x14ac:dyDescent="0.3">
      <c r="A23" s="3">
        <v>46043</v>
      </c>
      <c r="B23" s="3" t="str">
        <f>TEXT(Table1[[#This Row],[Date]],"mmm")</f>
        <v>Jan</v>
      </c>
      <c r="C23" t="s">
        <v>20</v>
      </c>
      <c r="D23" t="s">
        <v>24</v>
      </c>
      <c r="E23">
        <v>2950</v>
      </c>
      <c r="F23" t="s">
        <v>7</v>
      </c>
      <c r="G23">
        <f>SUMIF(Table1[[#This Row],[Type]],"Expense",Table1[[#This Row],[Amount]])</f>
        <v>2950</v>
      </c>
      <c r="H23">
        <f t="shared" si="0"/>
        <v>0</v>
      </c>
      <c r="I23">
        <f t="shared" si="1"/>
        <v>-2950</v>
      </c>
    </row>
    <row r="24" spans="1:9" x14ac:dyDescent="0.3">
      <c r="A24" s="3">
        <v>46044</v>
      </c>
      <c r="B24" s="3" t="str">
        <f>TEXT(Table1[[#This Row],[Date]],"mmm")</f>
        <v>Jan</v>
      </c>
      <c r="C24" t="s">
        <v>10</v>
      </c>
      <c r="D24" t="s">
        <v>28</v>
      </c>
      <c r="E24">
        <v>8335</v>
      </c>
      <c r="F24" t="s">
        <v>10</v>
      </c>
      <c r="G24">
        <f>SUMIF(Table1[[#This Row],[Type]],"Expense",Table1[[#This Row],[Amount]])</f>
        <v>0</v>
      </c>
      <c r="H24">
        <f t="shared" si="0"/>
        <v>8335</v>
      </c>
      <c r="I24">
        <f t="shared" si="1"/>
        <v>8335</v>
      </c>
    </row>
    <row r="25" spans="1:9" x14ac:dyDescent="0.3">
      <c r="A25" s="3">
        <v>46045</v>
      </c>
      <c r="B25" s="3" t="str">
        <f>TEXT(Table1[[#This Row],[Date]],"mmm")</f>
        <v>Jan</v>
      </c>
      <c r="C25" t="s">
        <v>10</v>
      </c>
      <c r="D25" t="s">
        <v>12</v>
      </c>
      <c r="E25">
        <v>10617</v>
      </c>
      <c r="F25" t="s">
        <v>10</v>
      </c>
      <c r="G25">
        <f>SUMIF(Table1[[#This Row],[Type]],"Expense",Table1[[#This Row],[Amount]])</f>
        <v>0</v>
      </c>
      <c r="H25">
        <f t="shared" si="0"/>
        <v>10617</v>
      </c>
      <c r="I25">
        <f t="shared" si="1"/>
        <v>10617</v>
      </c>
    </row>
    <row r="26" spans="1:9" x14ac:dyDescent="0.3">
      <c r="A26" s="3">
        <v>46045</v>
      </c>
      <c r="B26" s="3" t="str">
        <f>TEXT(Table1[[#This Row],[Date]],"mmm")</f>
        <v>Jan</v>
      </c>
      <c r="C26" t="s">
        <v>20</v>
      </c>
      <c r="D26" t="s">
        <v>32</v>
      </c>
      <c r="E26">
        <v>680</v>
      </c>
      <c r="F26" t="s">
        <v>7</v>
      </c>
      <c r="G26">
        <f>SUMIF(Table1[[#This Row],[Type]],"Expense",Table1[[#This Row],[Amount]])</f>
        <v>680</v>
      </c>
      <c r="H26">
        <f t="shared" si="0"/>
        <v>0</v>
      </c>
      <c r="I26">
        <f t="shared" si="1"/>
        <v>-680</v>
      </c>
    </row>
    <row r="27" spans="1:9" x14ac:dyDescent="0.3">
      <c r="A27" s="3">
        <v>46047</v>
      </c>
      <c r="B27" s="3" t="str">
        <f>TEXT(Table1[[#This Row],[Date]],"mmm")</f>
        <v>Jan</v>
      </c>
      <c r="C27" t="s">
        <v>8</v>
      </c>
      <c r="D27" t="s">
        <v>31</v>
      </c>
      <c r="E27">
        <v>1368</v>
      </c>
      <c r="F27" t="s">
        <v>7</v>
      </c>
      <c r="G27">
        <f>SUMIF(Table1[[#This Row],[Type]],"Expense",Table1[[#This Row],[Amount]])</f>
        <v>1368</v>
      </c>
      <c r="H27">
        <f t="shared" si="0"/>
        <v>0</v>
      </c>
      <c r="I27">
        <f t="shared" si="1"/>
        <v>-1368</v>
      </c>
    </row>
    <row r="28" spans="1:9" x14ac:dyDescent="0.3">
      <c r="A28" s="3">
        <v>46047</v>
      </c>
      <c r="B28" s="3" t="str">
        <f>TEXT(Table1[[#This Row],[Date]],"mmm")</f>
        <v>Jan</v>
      </c>
      <c r="C28" t="s">
        <v>8</v>
      </c>
      <c r="D28" t="s">
        <v>31</v>
      </c>
      <c r="E28">
        <v>1657</v>
      </c>
      <c r="F28" t="s">
        <v>7</v>
      </c>
      <c r="G28">
        <f>SUMIF(Table1[[#This Row],[Type]],"Expense",Table1[[#This Row],[Amount]])</f>
        <v>1657</v>
      </c>
      <c r="H28">
        <f t="shared" si="0"/>
        <v>0</v>
      </c>
      <c r="I28">
        <f t="shared" si="1"/>
        <v>-1657</v>
      </c>
    </row>
    <row r="29" spans="1:9" x14ac:dyDescent="0.3">
      <c r="A29" s="3">
        <v>46047</v>
      </c>
      <c r="B29" s="3" t="str">
        <f>TEXT(Table1[[#This Row],[Date]],"mmm")</f>
        <v>Jan</v>
      </c>
      <c r="C29" t="s">
        <v>20</v>
      </c>
      <c r="D29" t="s">
        <v>24</v>
      </c>
      <c r="E29">
        <v>342</v>
      </c>
      <c r="F29" t="s">
        <v>7</v>
      </c>
      <c r="G29">
        <f>SUMIF(Table1[[#This Row],[Type]],"Expense",Table1[[#This Row],[Amount]])</f>
        <v>342</v>
      </c>
      <c r="H29">
        <f t="shared" si="0"/>
        <v>0</v>
      </c>
      <c r="I29">
        <f t="shared" si="1"/>
        <v>-342</v>
      </c>
    </row>
    <row r="30" spans="1:9" x14ac:dyDescent="0.3">
      <c r="A30" s="3">
        <v>46048</v>
      </c>
      <c r="B30" s="3" t="str">
        <f>TEXT(Table1[[#This Row],[Date]],"mmm")</f>
        <v>Jan</v>
      </c>
      <c r="C30" t="s">
        <v>13</v>
      </c>
      <c r="D30" t="s">
        <v>30</v>
      </c>
      <c r="E30">
        <v>202</v>
      </c>
      <c r="F30" t="s">
        <v>7</v>
      </c>
      <c r="G30">
        <f>SUMIF(Table1[[#This Row],[Type]],"Expense",Table1[[#This Row],[Amount]])</f>
        <v>202</v>
      </c>
      <c r="H30">
        <f t="shared" si="0"/>
        <v>0</v>
      </c>
      <c r="I30">
        <f t="shared" si="1"/>
        <v>-202</v>
      </c>
    </row>
    <row r="31" spans="1:9" x14ac:dyDescent="0.3">
      <c r="A31" s="3">
        <v>46049</v>
      </c>
      <c r="B31" s="3" t="str">
        <f>TEXT(Table1[[#This Row],[Date]],"mmm")</f>
        <v>Jan</v>
      </c>
      <c r="C31" t="s">
        <v>15</v>
      </c>
      <c r="D31" t="s">
        <v>40</v>
      </c>
      <c r="E31">
        <v>327</v>
      </c>
      <c r="F31" t="s">
        <v>7</v>
      </c>
      <c r="G31">
        <f>SUMIF(Table1[[#This Row],[Type]],"Expense",Table1[[#This Row],[Amount]])</f>
        <v>327</v>
      </c>
      <c r="H31">
        <f t="shared" si="0"/>
        <v>0</v>
      </c>
      <c r="I31">
        <f t="shared" si="1"/>
        <v>-327</v>
      </c>
    </row>
    <row r="32" spans="1:9" x14ac:dyDescent="0.3">
      <c r="A32" s="3">
        <v>46051</v>
      </c>
      <c r="B32" s="3" t="str">
        <f>TEXT(Table1[[#This Row],[Date]],"mmm")</f>
        <v>Jan</v>
      </c>
      <c r="C32" t="s">
        <v>15</v>
      </c>
      <c r="D32" t="s">
        <v>27</v>
      </c>
      <c r="E32">
        <v>1095</v>
      </c>
      <c r="F32" t="s">
        <v>7</v>
      </c>
      <c r="G32">
        <f>SUMIF(Table1[[#This Row],[Type]],"Expense",Table1[[#This Row],[Amount]])</f>
        <v>1095</v>
      </c>
      <c r="H32">
        <f t="shared" si="0"/>
        <v>0</v>
      </c>
      <c r="I32">
        <f t="shared" si="1"/>
        <v>-1095</v>
      </c>
    </row>
    <row r="33" spans="1:9" x14ac:dyDescent="0.3">
      <c r="A33" s="3">
        <v>46051</v>
      </c>
      <c r="B33" s="3" t="str">
        <f>TEXT(Table1[[#This Row],[Date]],"mmm")</f>
        <v>Jan</v>
      </c>
      <c r="C33" t="s">
        <v>18</v>
      </c>
      <c r="D33" t="s">
        <v>25</v>
      </c>
      <c r="E33">
        <v>4276</v>
      </c>
      <c r="F33" t="s">
        <v>7</v>
      </c>
      <c r="G33">
        <f>SUMIF(Table1[[#This Row],[Type]],"Expense",Table1[[#This Row],[Amount]])</f>
        <v>4276</v>
      </c>
      <c r="H33">
        <f t="shared" si="0"/>
        <v>0</v>
      </c>
      <c r="I33">
        <f t="shared" si="1"/>
        <v>-4276</v>
      </c>
    </row>
    <row r="34" spans="1:9" x14ac:dyDescent="0.3">
      <c r="A34" s="3">
        <v>46052</v>
      </c>
      <c r="B34" s="3" t="str">
        <f>TEXT(Table1[[#This Row],[Date]],"mmm")</f>
        <v>Jan</v>
      </c>
      <c r="C34" t="s">
        <v>13</v>
      </c>
      <c r="D34" t="s">
        <v>30</v>
      </c>
      <c r="E34">
        <v>4272</v>
      </c>
      <c r="F34" t="s">
        <v>7</v>
      </c>
      <c r="G34">
        <f>SUMIF(Table1[[#This Row],[Type]],"Expense",Table1[[#This Row],[Amount]])</f>
        <v>4272</v>
      </c>
      <c r="H34">
        <f t="shared" ref="H34:H65" si="2">SUMIF(F34,"Income",E34)</f>
        <v>0</v>
      </c>
      <c r="I34">
        <f t="shared" ref="I34:I65" si="3">H34-G34</f>
        <v>-4272</v>
      </c>
    </row>
    <row r="35" spans="1:9" x14ac:dyDescent="0.3">
      <c r="A35" s="3">
        <v>46052</v>
      </c>
      <c r="B35" s="3" t="str">
        <f>TEXT(Table1[[#This Row],[Date]],"mmm")</f>
        <v>Jan</v>
      </c>
      <c r="C35" t="s">
        <v>10</v>
      </c>
      <c r="D35" t="s">
        <v>26</v>
      </c>
      <c r="E35">
        <v>18788</v>
      </c>
      <c r="F35" t="s">
        <v>10</v>
      </c>
      <c r="G35">
        <f>SUMIF(Table1[[#This Row],[Type]],"Expense",Table1[[#This Row],[Amount]])</f>
        <v>0</v>
      </c>
      <c r="H35">
        <f t="shared" si="2"/>
        <v>18788</v>
      </c>
      <c r="I35">
        <f t="shared" si="3"/>
        <v>18788</v>
      </c>
    </row>
    <row r="36" spans="1:9" x14ac:dyDescent="0.3">
      <c r="A36" s="3">
        <v>46054</v>
      </c>
      <c r="B36" s="3" t="str">
        <f>TEXT(Table1[[#This Row],[Date]],"mmm")</f>
        <v>Feb</v>
      </c>
      <c r="C36" t="s">
        <v>18</v>
      </c>
      <c r="D36" t="s">
        <v>19</v>
      </c>
      <c r="E36">
        <v>1995</v>
      </c>
      <c r="F36" t="s">
        <v>7</v>
      </c>
      <c r="G36">
        <f>SUMIF(Table1[[#This Row],[Type]],"Expense",Table1[[#This Row],[Amount]])</f>
        <v>1995</v>
      </c>
      <c r="H36">
        <f t="shared" si="2"/>
        <v>0</v>
      </c>
      <c r="I36">
        <f t="shared" si="3"/>
        <v>-1995</v>
      </c>
    </row>
    <row r="37" spans="1:9" x14ac:dyDescent="0.3">
      <c r="A37" s="3">
        <v>46054</v>
      </c>
      <c r="B37" s="3" t="str">
        <f>TEXT(Table1[[#This Row],[Date]],"mmm")</f>
        <v>Feb</v>
      </c>
      <c r="C37" t="s">
        <v>36</v>
      </c>
      <c r="D37" t="s">
        <v>38</v>
      </c>
      <c r="E37">
        <v>4231</v>
      </c>
      <c r="F37" t="s">
        <v>7</v>
      </c>
      <c r="G37">
        <f>SUMIF(Table1[[#This Row],[Type]],"Expense",Table1[[#This Row],[Amount]])</f>
        <v>4231</v>
      </c>
      <c r="H37">
        <f t="shared" si="2"/>
        <v>0</v>
      </c>
      <c r="I37">
        <f t="shared" si="3"/>
        <v>-4231</v>
      </c>
    </row>
    <row r="38" spans="1:9" x14ac:dyDescent="0.3">
      <c r="A38" s="3">
        <v>46054</v>
      </c>
      <c r="B38" s="3" t="str">
        <f>TEXT(Table1[[#This Row],[Date]],"mmm")</f>
        <v>Feb</v>
      </c>
      <c r="C38" t="s">
        <v>18</v>
      </c>
      <c r="D38" t="s">
        <v>29</v>
      </c>
      <c r="E38">
        <v>266</v>
      </c>
      <c r="F38" t="s">
        <v>7</v>
      </c>
      <c r="G38">
        <f>SUMIF(Table1[[#This Row],[Type]],"Expense",Table1[[#This Row],[Amount]])</f>
        <v>266</v>
      </c>
      <c r="H38">
        <f t="shared" si="2"/>
        <v>0</v>
      </c>
      <c r="I38">
        <f t="shared" si="3"/>
        <v>-266</v>
      </c>
    </row>
    <row r="39" spans="1:9" x14ac:dyDescent="0.3">
      <c r="A39" s="3">
        <v>46059</v>
      </c>
      <c r="B39" s="3" t="str">
        <f>TEXT(Table1[[#This Row],[Date]],"mmm")</f>
        <v>Feb</v>
      </c>
      <c r="C39" t="s">
        <v>18</v>
      </c>
      <c r="D39" t="s">
        <v>34</v>
      </c>
      <c r="E39">
        <v>363</v>
      </c>
      <c r="F39" t="s">
        <v>7</v>
      </c>
      <c r="G39">
        <f>SUMIF(Table1[[#This Row],[Type]],"Expense",Table1[[#This Row],[Amount]])</f>
        <v>363</v>
      </c>
      <c r="H39">
        <f t="shared" si="2"/>
        <v>0</v>
      </c>
      <c r="I39">
        <f t="shared" si="3"/>
        <v>-363</v>
      </c>
    </row>
    <row r="40" spans="1:9" x14ac:dyDescent="0.3">
      <c r="A40" s="3">
        <v>46059</v>
      </c>
      <c r="B40" s="3" t="str">
        <f>TEXT(Table1[[#This Row],[Date]],"mmm")</f>
        <v>Feb</v>
      </c>
      <c r="C40" t="s">
        <v>10</v>
      </c>
      <c r="D40" t="s">
        <v>12</v>
      </c>
      <c r="E40">
        <v>6636</v>
      </c>
      <c r="F40" t="s">
        <v>10</v>
      </c>
      <c r="G40">
        <f>SUMIF(Table1[[#This Row],[Type]],"Expense",Table1[[#This Row],[Amount]])</f>
        <v>0</v>
      </c>
      <c r="H40">
        <f t="shared" si="2"/>
        <v>6636</v>
      </c>
      <c r="I40">
        <f t="shared" si="3"/>
        <v>6636</v>
      </c>
    </row>
    <row r="41" spans="1:9" x14ac:dyDescent="0.3">
      <c r="A41" s="3">
        <v>46066</v>
      </c>
      <c r="B41" s="3" t="str">
        <f>TEXT(Table1[[#This Row],[Date]],"mmm")</f>
        <v>Feb</v>
      </c>
      <c r="C41" t="s">
        <v>15</v>
      </c>
      <c r="D41" t="s">
        <v>27</v>
      </c>
      <c r="E41">
        <v>670</v>
      </c>
      <c r="F41" t="s">
        <v>7</v>
      </c>
      <c r="G41">
        <f>SUMIF(Table1[[#This Row],[Type]],"Expense",Table1[[#This Row],[Amount]])</f>
        <v>670</v>
      </c>
      <c r="H41">
        <f t="shared" si="2"/>
        <v>0</v>
      </c>
      <c r="I41">
        <f t="shared" si="3"/>
        <v>-670</v>
      </c>
    </row>
    <row r="42" spans="1:9" x14ac:dyDescent="0.3">
      <c r="A42" s="3">
        <v>46066</v>
      </c>
      <c r="B42" s="3" t="str">
        <f>TEXT(Table1[[#This Row],[Date]],"mmm")</f>
        <v>Feb</v>
      </c>
      <c r="C42" t="s">
        <v>13</v>
      </c>
      <c r="D42" t="s">
        <v>14</v>
      </c>
      <c r="E42">
        <v>1886</v>
      </c>
      <c r="F42" t="s">
        <v>7</v>
      </c>
      <c r="G42">
        <f>SUMIF(Table1[[#This Row],[Type]],"Expense",Table1[[#This Row],[Amount]])</f>
        <v>1886</v>
      </c>
      <c r="H42">
        <f t="shared" si="2"/>
        <v>0</v>
      </c>
      <c r="I42">
        <f t="shared" si="3"/>
        <v>-1886</v>
      </c>
    </row>
    <row r="43" spans="1:9" x14ac:dyDescent="0.3">
      <c r="A43" s="3">
        <v>46066</v>
      </c>
      <c r="B43" s="3" t="str">
        <f>TEXT(Table1[[#This Row],[Date]],"mmm")</f>
        <v>Feb</v>
      </c>
      <c r="C43" t="s">
        <v>18</v>
      </c>
      <c r="D43" t="s">
        <v>34</v>
      </c>
      <c r="E43">
        <v>1945</v>
      </c>
      <c r="F43" t="s">
        <v>7</v>
      </c>
      <c r="G43">
        <f>SUMIF(Table1[[#This Row],[Type]],"Expense",Table1[[#This Row],[Amount]])</f>
        <v>1945</v>
      </c>
      <c r="H43">
        <f t="shared" si="2"/>
        <v>0</v>
      </c>
      <c r="I43">
        <f t="shared" si="3"/>
        <v>-1945</v>
      </c>
    </row>
    <row r="44" spans="1:9" x14ac:dyDescent="0.3">
      <c r="A44" s="3">
        <v>46067</v>
      </c>
      <c r="B44" s="3" t="str">
        <f>TEXT(Table1[[#This Row],[Date]],"mmm")</f>
        <v>Feb</v>
      </c>
      <c r="C44" t="s">
        <v>8</v>
      </c>
      <c r="D44" t="s">
        <v>9</v>
      </c>
      <c r="E44">
        <v>3104</v>
      </c>
      <c r="F44" t="s">
        <v>7</v>
      </c>
      <c r="G44">
        <f>SUMIF(Table1[[#This Row],[Type]],"Expense",Table1[[#This Row],[Amount]])</f>
        <v>3104</v>
      </c>
      <c r="H44">
        <f t="shared" si="2"/>
        <v>0</v>
      </c>
      <c r="I44">
        <f t="shared" si="3"/>
        <v>-3104</v>
      </c>
    </row>
    <row r="45" spans="1:9" x14ac:dyDescent="0.3">
      <c r="A45" s="3">
        <v>46067</v>
      </c>
      <c r="B45" s="3" t="str">
        <f>TEXT(Table1[[#This Row],[Date]],"mmm")</f>
        <v>Feb</v>
      </c>
      <c r="C45" t="s">
        <v>10</v>
      </c>
      <c r="D45" t="s">
        <v>17</v>
      </c>
      <c r="E45">
        <v>6796</v>
      </c>
      <c r="F45" t="s">
        <v>10</v>
      </c>
      <c r="G45">
        <f>SUMIF(Table1[[#This Row],[Type]],"Expense",Table1[[#This Row],[Amount]])</f>
        <v>0</v>
      </c>
      <c r="H45">
        <f t="shared" si="2"/>
        <v>6796</v>
      </c>
      <c r="I45">
        <f t="shared" si="3"/>
        <v>6796</v>
      </c>
    </row>
    <row r="46" spans="1:9" x14ac:dyDescent="0.3">
      <c r="A46" s="3">
        <v>46071</v>
      </c>
      <c r="B46" s="3" t="str">
        <f>TEXT(Table1[[#This Row],[Date]],"mmm")</f>
        <v>Feb</v>
      </c>
      <c r="C46" t="s">
        <v>10</v>
      </c>
      <c r="D46" t="s">
        <v>28</v>
      </c>
      <c r="E46">
        <v>15046</v>
      </c>
      <c r="F46" t="s">
        <v>10</v>
      </c>
      <c r="G46">
        <f>SUMIF(Table1[[#This Row],[Type]],"Expense",Table1[[#This Row],[Amount]])</f>
        <v>0</v>
      </c>
      <c r="H46">
        <f t="shared" si="2"/>
        <v>15046</v>
      </c>
      <c r="I46">
        <f t="shared" si="3"/>
        <v>15046</v>
      </c>
    </row>
    <row r="47" spans="1:9" x14ac:dyDescent="0.3">
      <c r="A47" s="3">
        <v>46072</v>
      </c>
      <c r="B47" s="3" t="str">
        <f>TEXT(Table1[[#This Row],[Date]],"mmm")</f>
        <v>Feb</v>
      </c>
      <c r="C47" t="s">
        <v>10</v>
      </c>
      <c r="D47" t="s">
        <v>26</v>
      </c>
      <c r="E47">
        <v>3965</v>
      </c>
      <c r="F47" t="s">
        <v>10</v>
      </c>
      <c r="G47">
        <f>SUMIF(Table1[[#This Row],[Type]],"Expense",Table1[[#This Row],[Amount]])</f>
        <v>0</v>
      </c>
      <c r="H47">
        <f t="shared" si="2"/>
        <v>3965</v>
      </c>
      <c r="I47">
        <f t="shared" si="3"/>
        <v>3965</v>
      </c>
    </row>
    <row r="48" spans="1:9" x14ac:dyDescent="0.3">
      <c r="A48" s="3">
        <v>46072</v>
      </c>
      <c r="B48" s="3" t="str">
        <f>TEXT(Table1[[#This Row],[Date]],"mmm")</f>
        <v>Feb</v>
      </c>
      <c r="C48" t="s">
        <v>8</v>
      </c>
      <c r="D48" t="s">
        <v>9</v>
      </c>
      <c r="E48">
        <v>1613</v>
      </c>
      <c r="F48" t="s">
        <v>7</v>
      </c>
      <c r="G48">
        <f>SUMIF(Table1[[#This Row],[Type]],"Expense",Table1[[#This Row],[Amount]])</f>
        <v>1613</v>
      </c>
      <c r="H48">
        <f t="shared" si="2"/>
        <v>0</v>
      </c>
      <c r="I48">
        <f t="shared" si="3"/>
        <v>-1613</v>
      </c>
    </row>
    <row r="49" spans="1:9" x14ac:dyDescent="0.3">
      <c r="A49" s="3">
        <v>46072</v>
      </c>
      <c r="B49" s="3" t="str">
        <f>TEXT(Table1[[#This Row],[Date]],"mmm")</f>
        <v>Feb</v>
      </c>
      <c r="C49" t="s">
        <v>8</v>
      </c>
      <c r="D49" t="s">
        <v>9</v>
      </c>
      <c r="E49">
        <v>4310</v>
      </c>
      <c r="F49" t="s">
        <v>7</v>
      </c>
      <c r="G49">
        <f>SUMIF(Table1[[#This Row],[Type]],"Expense",Table1[[#This Row],[Amount]])</f>
        <v>4310</v>
      </c>
      <c r="H49">
        <f t="shared" si="2"/>
        <v>0</v>
      </c>
      <c r="I49">
        <f t="shared" si="3"/>
        <v>-4310</v>
      </c>
    </row>
    <row r="50" spans="1:9" x14ac:dyDescent="0.3">
      <c r="A50" s="3">
        <v>46073</v>
      </c>
      <c r="B50" s="3" t="str">
        <f>TEXT(Table1[[#This Row],[Date]],"mmm")</f>
        <v>Feb</v>
      </c>
      <c r="C50" t="s">
        <v>10</v>
      </c>
      <c r="D50" t="s">
        <v>28</v>
      </c>
      <c r="E50">
        <v>4662</v>
      </c>
      <c r="F50" t="s">
        <v>10</v>
      </c>
      <c r="G50">
        <f>SUMIF(Table1[[#This Row],[Type]],"Expense",Table1[[#This Row],[Amount]])</f>
        <v>0</v>
      </c>
      <c r="H50">
        <f t="shared" si="2"/>
        <v>4662</v>
      </c>
      <c r="I50">
        <f t="shared" si="3"/>
        <v>4662</v>
      </c>
    </row>
    <row r="51" spans="1:9" x14ac:dyDescent="0.3">
      <c r="A51" s="3">
        <v>46073</v>
      </c>
      <c r="B51" s="3" t="str">
        <f>TEXT(Table1[[#This Row],[Date]],"mmm")</f>
        <v>Feb</v>
      </c>
      <c r="C51" t="s">
        <v>8</v>
      </c>
      <c r="D51" t="s">
        <v>9</v>
      </c>
      <c r="E51">
        <v>410</v>
      </c>
      <c r="F51" t="s">
        <v>7</v>
      </c>
      <c r="G51">
        <f>SUMIF(Table1[[#This Row],[Type]],"Expense",Table1[[#This Row],[Amount]])</f>
        <v>410</v>
      </c>
      <c r="H51">
        <f t="shared" si="2"/>
        <v>0</v>
      </c>
      <c r="I51">
        <f t="shared" si="3"/>
        <v>-410</v>
      </c>
    </row>
    <row r="52" spans="1:9" x14ac:dyDescent="0.3">
      <c r="A52" s="3">
        <v>46077</v>
      </c>
      <c r="B52" s="3" t="str">
        <f>TEXT(Table1[[#This Row],[Date]],"mmm")</f>
        <v>Feb</v>
      </c>
      <c r="C52" t="s">
        <v>18</v>
      </c>
      <c r="D52" t="s">
        <v>35</v>
      </c>
      <c r="E52">
        <v>4789</v>
      </c>
      <c r="F52" t="s">
        <v>7</v>
      </c>
      <c r="G52">
        <f>SUMIF(Table1[[#This Row],[Type]],"Expense",Table1[[#This Row],[Amount]])</f>
        <v>4789</v>
      </c>
      <c r="H52">
        <f t="shared" si="2"/>
        <v>0</v>
      </c>
      <c r="I52">
        <f t="shared" si="3"/>
        <v>-4789</v>
      </c>
    </row>
    <row r="53" spans="1:9" x14ac:dyDescent="0.3">
      <c r="A53" s="3">
        <v>46077</v>
      </c>
      <c r="B53" s="3" t="str">
        <f>TEXT(Table1[[#This Row],[Date]],"mmm")</f>
        <v>Feb</v>
      </c>
      <c r="C53" t="s">
        <v>8</v>
      </c>
      <c r="D53" t="s">
        <v>9</v>
      </c>
      <c r="E53">
        <v>1119</v>
      </c>
      <c r="F53" t="s">
        <v>7</v>
      </c>
      <c r="G53">
        <f>SUMIF(Table1[[#This Row],[Type]],"Expense",Table1[[#This Row],[Amount]])</f>
        <v>1119</v>
      </c>
      <c r="H53">
        <f t="shared" si="2"/>
        <v>0</v>
      </c>
      <c r="I53">
        <f t="shared" si="3"/>
        <v>-1119</v>
      </c>
    </row>
    <row r="54" spans="1:9" x14ac:dyDescent="0.3">
      <c r="A54" s="3">
        <v>46078</v>
      </c>
      <c r="B54" s="3" t="str">
        <f>TEXT(Table1[[#This Row],[Date]],"mmm")</f>
        <v>Feb</v>
      </c>
      <c r="C54" t="s">
        <v>18</v>
      </c>
      <c r="D54" t="s">
        <v>19</v>
      </c>
      <c r="E54">
        <v>629</v>
      </c>
      <c r="F54" t="s">
        <v>7</v>
      </c>
      <c r="G54">
        <f>SUMIF(Table1[[#This Row],[Type]],"Expense",Table1[[#This Row],[Amount]])</f>
        <v>629</v>
      </c>
      <c r="H54">
        <f t="shared" si="2"/>
        <v>0</v>
      </c>
      <c r="I54">
        <f t="shared" si="3"/>
        <v>-629</v>
      </c>
    </row>
    <row r="55" spans="1:9" x14ac:dyDescent="0.3">
      <c r="A55" s="3">
        <v>46078</v>
      </c>
      <c r="B55" s="3" t="str">
        <f>TEXT(Table1[[#This Row],[Date]],"mmm")</f>
        <v>Feb</v>
      </c>
      <c r="C55" t="s">
        <v>13</v>
      </c>
      <c r="D55" t="s">
        <v>30</v>
      </c>
      <c r="E55">
        <v>130</v>
      </c>
      <c r="F55" t="s">
        <v>7</v>
      </c>
      <c r="G55">
        <f>SUMIF(Table1[[#This Row],[Type]],"Expense",Table1[[#This Row],[Amount]])</f>
        <v>130</v>
      </c>
      <c r="H55">
        <f t="shared" si="2"/>
        <v>0</v>
      </c>
      <c r="I55">
        <f t="shared" si="3"/>
        <v>-130</v>
      </c>
    </row>
    <row r="56" spans="1:9" x14ac:dyDescent="0.3">
      <c r="A56" s="3">
        <v>46078</v>
      </c>
      <c r="B56" s="3" t="str">
        <f>TEXT(Table1[[#This Row],[Date]],"mmm")</f>
        <v>Feb</v>
      </c>
      <c r="C56" t="s">
        <v>10</v>
      </c>
      <c r="D56" t="s">
        <v>28</v>
      </c>
      <c r="E56">
        <v>15341</v>
      </c>
      <c r="F56" t="s">
        <v>10</v>
      </c>
      <c r="G56">
        <f>SUMIF(Table1[[#This Row],[Type]],"Expense",Table1[[#This Row],[Amount]])</f>
        <v>0</v>
      </c>
      <c r="H56">
        <f t="shared" si="2"/>
        <v>15341</v>
      </c>
      <c r="I56">
        <f t="shared" si="3"/>
        <v>15341</v>
      </c>
    </row>
    <row r="57" spans="1:9" x14ac:dyDescent="0.3">
      <c r="A57" s="3">
        <v>46079</v>
      </c>
      <c r="B57" s="3" t="str">
        <f>TEXT(Table1[[#This Row],[Date]],"mmm")</f>
        <v>Feb</v>
      </c>
      <c r="C57" t="s">
        <v>15</v>
      </c>
      <c r="D57" t="s">
        <v>40</v>
      </c>
      <c r="E57">
        <v>4157</v>
      </c>
      <c r="F57" t="s">
        <v>7</v>
      </c>
      <c r="G57">
        <f>SUMIF(Table1[[#This Row],[Type]],"Expense",Table1[[#This Row],[Amount]])</f>
        <v>4157</v>
      </c>
      <c r="H57">
        <f t="shared" si="2"/>
        <v>0</v>
      </c>
      <c r="I57">
        <f t="shared" si="3"/>
        <v>-4157</v>
      </c>
    </row>
    <row r="58" spans="1:9" x14ac:dyDescent="0.3">
      <c r="A58" s="3">
        <v>46080</v>
      </c>
      <c r="B58" s="3" t="str">
        <f>TEXT(Table1[[#This Row],[Date]],"mmm")</f>
        <v>Feb</v>
      </c>
      <c r="C58" t="s">
        <v>5</v>
      </c>
      <c r="D58" t="s">
        <v>39</v>
      </c>
      <c r="E58">
        <v>4087</v>
      </c>
      <c r="F58" t="s">
        <v>7</v>
      </c>
      <c r="G58">
        <f>SUMIF(Table1[[#This Row],[Type]],"Expense",Table1[[#This Row],[Amount]])</f>
        <v>4087</v>
      </c>
      <c r="H58">
        <f t="shared" si="2"/>
        <v>0</v>
      </c>
      <c r="I58">
        <f t="shared" si="3"/>
        <v>-4087</v>
      </c>
    </row>
    <row r="59" spans="1:9" x14ac:dyDescent="0.3">
      <c r="A59" s="3">
        <v>46081</v>
      </c>
      <c r="B59" s="3" t="str">
        <f>TEXT(Table1[[#This Row],[Date]],"mmm")</f>
        <v>Feb</v>
      </c>
      <c r="C59" t="s">
        <v>36</v>
      </c>
      <c r="D59" t="s">
        <v>38</v>
      </c>
      <c r="E59">
        <v>3080</v>
      </c>
      <c r="F59" t="s">
        <v>7</v>
      </c>
      <c r="G59">
        <f>SUMIF(Table1[[#This Row],[Type]],"Expense",Table1[[#This Row],[Amount]])</f>
        <v>3080</v>
      </c>
      <c r="H59">
        <f t="shared" si="2"/>
        <v>0</v>
      </c>
      <c r="I59">
        <f t="shared" si="3"/>
        <v>-3080</v>
      </c>
    </row>
    <row r="60" spans="1:9" x14ac:dyDescent="0.3">
      <c r="A60" s="3">
        <v>46083</v>
      </c>
      <c r="B60" s="3" t="str">
        <f>TEXT(Table1[[#This Row],[Date]],"mmm")</f>
        <v>Mar</v>
      </c>
      <c r="C60" t="s">
        <v>5</v>
      </c>
      <c r="D60" t="s">
        <v>6</v>
      </c>
      <c r="E60">
        <v>436</v>
      </c>
      <c r="F60" t="s">
        <v>7</v>
      </c>
      <c r="G60">
        <f>SUMIF(Table1[[#This Row],[Type]],"Expense",Table1[[#This Row],[Amount]])</f>
        <v>436</v>
      </c>
      <c r="H60">
        <f t="shared" si="2"/>
        <v>0</v>
      </c>
      <c r="I60">
        <f t="shared" si="3"/>
        <v>-436</v>
      </c>
    </row>
    <row r="61" spans="1:9" x14ac:dyDescent="0.3">
      <c r="A61" s="3">
        <v>46086</v>
      </c>
      <c r="B61" s="3" t="str">
        <f>TEXT(Table1[[#This Row],[Date]],"mmm")</f>
        <v>Mar</v>
      </c>
      <c r="C61" t="s">
        <v>10</v>
      </c>
      <c r="D61" t="s">
        <v>12</v>
      </c>
      <c r="E61">
        <v>10133</v>
      </c>
      <c r="F61" t="s">
        <v>10</v>
      </c>
      <c r="G61">
        <f>SUMIF(Table1[[#This Row],[Type]],"Expense",Table1[[#This Row],[Amount]])</f>
        <v>0</v>
      </c>
      <c r="H61">
        <f t="shared" si="2"/>
        <v>10133</v>
      </c>
      <c r="I61">
        <f t="shared" si="3"/>
        <v>10133</v>
      </c>
    </row>
    <row r="62" spans="1:9" x14ac:dyDescent="0.3">
      <c r="A62" s="3">
        <v>46086</v>
      </c>
      <c r="B62" s="3" t="str">
        <f>TEXT(Table1[[#This Row],[Date]],"mmm")</f>
        <v>Mar</v>
      </c>
      <c r="C62" t="s">
        <v>18</v>
      </c>
      <c r="D62" t="s">
        <v>34</v>
      </c>
      <c r="E62">
        <v>2174</v>
      </c>
      <c r="F62" t="s">
        <v>7</v>
      </c>
      <c r="G62">
        <f>SUMIF(Table1[[#This Row],[Type]],"Expense",Table1[[#This Row],[Amount]])</f>
        <v>2174</v>
      </c>
      <c r="H62">
        <f t="shared" si="2"/>
        <v>0</v>
      </c>
      <c r="I62">
        <f t="shared" si="3"/>
        <v>-2174</v>
      </c>
    </row>
    <row r="63" spans="1:9" x14ac:dyDescent="0.3">
      <c r="A63" s="3">
        <v>46086</v>
      </c>
      <c r="B63" s="3" t="str">
        <f>TEXT(Table1[[#This Row],[Date]],"mmm")</f>
        <v>Mar</v>
      </c>
      <c r="C63" t="s">
        <v>15</v>
      </c>
      <c r="D63" t="s">
        <v>16</v>
      </c>
      <c r="E63">
        <v>3927</v>
      </c>
      <c r="F63" t="s">
        <v>7</v>
      </c>
      <c r="G63">
        <f>SUMIF(Table1[[#This Row],[Type]],"Expense",Table1[[#This Row],[Amount]])</f>
        <v>3927</v>
      </c>
      <c r="H63">
        <f t="shared" si="2"/>
        <v>0</v>
      </c>
      <c r="I63">
        <f t="shared" si="3"/>
        <v>-3927</v>
      </c>
    </row>
    <row r="64" spans="1:9" x14ac:dyDescent="0.3">
      <c r="A64" s="3">
        <v>46086</v>
      </c>
      <c r="B64" s="3" t="str">
        <f>TEXT(Table1[[#This Row],[Date]],"mmm")</f>
        <v>Mar</v>
      </c>
      <c r="C64" t="s">
        <v>15</v>
      </c>
      <c r="D64" t="s">
        <v>40</v>
      </c>
      <c r="E64">
        <v>4993</v>
      </c>
      <c r="F64" t="s">
        <v>7</v>
      </c>
      <c r="G64">
        <f>SUMIF(Table1[[#This Row],[Type]],"Expense",Table1[[#This Row],[Amount]])</f>
        <v>4993</v>
      </c>
      <c r="H64">
        <f t="shared" si="2"/>
        <v>0</v>
      </c>
      <c r="I64">
        <f t="shared" si="3"/>
        <v>-4993</v>
      </c>
    </row>
    <row r="65" spans="1:9" x14ac:dyDescent="0.3">
      <c r="A65" s="3">
        <v>46096</v>
      </c>
      <c r="B65" s="3" t="str">
        <f>TEXT(Table1[[#This Row],[Date]],"mmm")</f>
        <v>Mar</v>
      </c>
      <c r="C65" t="s">
        <v>5</v>
      </c>
      <c r="D65" t="s">
        <v>6</v>
      </c>
      <c r="E65">
        <v>1551</v>
      </c>
      <c r="F65" t="s">
        <v>7</v>
      </c>
      <c r="G65">
        <f>SUMIF(Table1[[#This Row],[Type]],"Expense",Table1[[#This Row],[Amount]])</f>
        <v>1551</v>
      </c>
      <c r="H65">
        <f t="shared" si="2"/>
        <v>0</v>
      </c>
      <c r="I65">
        <f t="shared" si="3"/>
        <v>-1551</v>
      </c>
    </row>
    <row r="66" spans="1:9" x14ac:dyDescent="0.3">
      <c r="A66" s="3">
        <v>46098</v>
      </c>
      <c r="B66" s="3" t="str">
        <f>TEXT(Table1[[#This Row],[Date]],"mmm")</f>
        <v>Mar</v>
      </c>
      <c r="C66" t="s">
        <v>20</v>
      </c>
      <c r="D66" t="s">
        <v>32</v>
      </c>
      <c r="E66">
        <v>4784</v>
      </c>
      <c r="F66" t="s">
        <v>7</v>
      </c>
      <c r="G66">
        <f>SUMIF(Table1[[#This Row],[Type]],"Expense",Table1[[#This Row],[Amount]])</f>
        <v>4784</v>
      </c>
      <c r="H66">
        <f t="shared" ref="H66:H97" si="4">SUMIF(F66,"Income",E66)</f>
        <v>0</v>
      </c>
      <c r="I66">
        <f t="shared" ref="I66:I97" si="5">H66-G66</f>
        <v>-4784</v>
      </c>
    </row>
    <row r="67" spans="1:9" x14ac:dyDescent="0.3">
      <c r="A67" s="3">
        <v>46099</v>
      </c>
      <c r="B67" s="3" t="str">
        <f>TEXT(Table1[[#This Row],[Date]],"mmm")</f>
        <v>Mar</v>
      </c>
      <c r="C67" t="s">
        <v>5</v>
      </c>
      <c r="D67" t="s">
        <v>22</v>
      </c>
      <c r="E67">
        <v>2315</v>
      </c>
      <c r="F67" t="s">
        <v>7</v>
      </c>
      <c r="G67">
        <f>SUMIF(Table1[[#This Row],[Type]],"Expense",Table1[[#This Row],[Amount]])</f>
        <v>2315</v>
      </c>
      <c r="H67">
        <f t="shared" si="4"/>
        <v>0</v>
      </c>
      <c r="I67">
        <f t="shared" si="5"/>
        <v>-2315</v>
      </c>
    </row>
    <row r="68" spans="1:9" x14ac:dyDescent="0.3">
      <c r="A68" s="3">
        <v>46101</v>
      </c>
      <c r="B68" s="3" t="str">
        <f>TEXT(Table1[[#This Row],[Date]],"mmm")</f>
        <v>Mar</v>
      </c>
      <c r="C68" t="s">
        <v>20</v>
      </c>
      <c r="D68" t="s">
        <v>24</v>
      </c>
      <c r="E68">
        <v>3105</v>
      </c>
      <c r="F68" t="s">
        <v>7</v>
      </c>
      <c r="G68">
        <f>SUMIF(Table1[[#This Row],[Type]],"Expense",Table1[[#This Row],[Amount]])</f>
        <v>3105</v>
      </c>
      <c r="H68">
        <f t="shared" si="4"/>
        <v>0</v>
      </c>
      <c r="I68">
        <f t="shared" si="5"/>
        <v>-3105</v>
      </c>
    </row>
    <row r="69" spans="1:9" x14ac:dyDescent="0.3">
      <c r="A69" s="3">
        <v>46101</v>
      </c>
      <c r="B69" s="3" t="str">
        <f>TEXT(Table1[[#This Row],[Date]],"mmm")</f>
        <v>Mar</v>
      </c>
      <c r="C69" t="s">
        <v>8</v>
      </c>
      <c r="D69" t="s">
        <v>9</v>
      </c>
      <c r="E69">
        <v>1330</v>
      </c>
      <c r="F69" t="s">
        <v>7</v>
      </c>
      <c r="G69">
        <f>SUMIF(Table1[[#This Row],[Type]],"Expense",Table1[[#This Row],[Amount]])</f>
        <v>1330</v>
      </c>
      <c r="H69">
        <f t="shared" si="4"/>
        <v>0</v>
      </c>
      <c r="I69">
        <f t="shared" si="5"/>
        <v>-1330</v>
      </c>
    </row>
    <row r="70" spans="1:9" x14ac:dyDescent="0.3">
      <c r="A70" s="3">
        <v>46103</v>
      </c>
      <c r="B70" s="3" t="str">
        <f>TEXT(Table1[[#This Row],[Date]],"mmm")</f>
        <v>Mar</v>
      </c>
      <c r="C70" t="s">
        <v>5</v>
      </c>
      <c r="D70" t="s">
        <v>22</v>
      </c>
      <c r="E70">
        <v>4180</v>
      </c>
      <c r="F70" t="s">
        <v>7</v>
      </c>
      <c r="G70">
        <f>SUMIF(Table1[[#This Row],[Type]],"Expense",Table1[[#This Row],[Amount]])</f>
        <v>4180</v>
      </c>
      <c r="H70">
        <f t="shared" si="4"/>
        <v>0</v>
      </c>
      <c r="I70">
        <f t="shared" si="5"/>
        <v>-4180</v>
      </c>
    </row>
    <row r="71" spans="1:9" x14ac:dyDescent="0.3">
      <c r="A71" s="3">
        <v>46104</v>
      </c>
      <c r="B71" s="3" t="str">
        <f>TEXT(Table1[[#This Row],[Date]],"mmm")</f>
        <v>Mar</v>
      </c>
      <c r="C71" t="s">
        <v>15</v>
      </c>
      <c r="D71" t="s">
        <v>27</v>
      </c>
      <c r="E71">
        <v>3669</v>
      </c>
      <c r="F71" t="s">
        <v>7</v>
      </c>
      <c r="G71">
        <f>SUMIF(Table1[[#This Row],[Type]],"Expense",Table1[[#This Row],[Amount]])</f>
        <v>3669</v>
      </c>
      <c r="H71">
        <f t="shared" si="4"/>
        <v>0</v>
      </c>
      <c r="I71">
        <f t="shared" si="5"/>
        <v>-3669</v>
      </c>
    </row>
    <row r="72" spans="1:9" x14ac:dyDescent="0.3">
      <c r="A72" s="3">
        <v>46105</v>
      </c>
      <c r="B72" s="3" t="str">
        <f>TEXT(Table1[[#This Row],[Date]],"mmm")</f>
        <v>Mar</v>
      </c>
      <c r="C72" t="s">
        <v>10</v>
      </c>
      <c r="D72" t="s">
        <v>17</v>
      </c>
      <c r="E72">
        <v>4198</v>
      </c>
      <c r="F72" t="s">
        <v>10</v>
      </c>
      <c r="G72">
        <f>SUMIF(Table1[[#This Row],[Type]],"Expense",Table1[[#This Row],[Amount]])</f>
        <v>0</v>
      </c>
      <c r="H72">
        <f t="shared" si="4"/>
        <v>4198</v>
      </c>
      <c r="I72">
        <f t="shared" si="5"/>
        <v>4198</v>
      </c>
    </row>
    <row r="73" spans="1:9" x14ac:dyDescent="0.3">
      <c r="A73" s="3">
        <v>46107</v>
      </c>
      <c r="B73" s="3" t="str">
        <f>TEXT(Table1[[#This Row],[Date]],"mmm")</f>
        <v>Mar</v>
      </c>
      <c r="C73" t="s">
        <v>10</v>
      </c>
      <c r="D73" t="s">
        <v>11</v>
      </c>
      <c r="E73">
        <v>15185</v>
      </c>
      <c r="F73" t="s">
        <v>10</v>
      </c>
      <c r="G73">
        <f>SUMIF(Table1[[#This Row],[Type]],"Expense",Table1[[#This Row],[Amount]])</f>
        <v>0</v>
      </c>
      <c r="H73">
        <f t="shared" si="4"/>
        <v>15185</v>
      </c>
      <c r="I73">
        <f t="shared" si="5"/>
        <v>15185</v>
      </c>
    </row>
    <row r="74" spans="1:9" x14ac:dyDescent="0.3">
      <c r="A74" s="3">
        <v>46108</v>
      </c>
      <c r="B74" s="3" t="str">
        <f>TEXT(Table1[[#This Row],[Date]],"mmm")</f>
        <v>Mar</v>
      </c>
      <c r="C74" t="s">
        <v>10</v>
      </c>
      <c r="D74" t="s">
        <v>11</v>
      </c>
      <c r="E74">
        <v>7963</v>
      </c>
      <c r="F74" t="s">
        <v>10</v>
      </c>
      <c r="G74">
        <f>SUMIF(Table1[[#This Row],[Type]],"Expense",Table1[[#This Row],[Amount]])</f>
        <v>0</v>
      </c>
      <c r="H74">
        <f t="shared" si="4"/>
        <v>7963</v>
      </c>
      <c r="I74">
        <f t="shared" si="5"/>
        <v>7963</v>
      </c>
    </row>
    <row r="75" spans="1:9" x14ac:dyDescent="0.3">
      <c r="A75" s="3">
        <v>46110</v>
      </c>
      <c r="B75" s="3" t="str">
        <f>TEXT(Table1[[#This Row],[Date]],"mmm")</f>
        <v>Mar</v>
      </c>
      <c r="C75" t="s">
        <v>20</v>
      </c>
      <c r="D75" t="s">
        <v>24</v>
      </c>
      <c r="E75">
        <v>3259</v>
      </c>
      <c r="F75" t="s">
        <v>7</v>
      </c>
      <c r="G75">
        <f>SUMIF(Table1[[#This Row],[Type]],"Expense",Table1[[#This Row],[Amount]])</f>
        <v>3259</v>
      </c>
      <c r="H75">
        <f t="shared" si="4"/>
        <v>0</v>
      </c>
      <c r="I75">
        <f t="shared" si="5"/>
        <v>-3259</v>
      </c>
    </row>
    <row r="76" spans="1:9" x14ac:dyDescent="0.3">
      <c r="A76" s="3">
        <v>46112</v>
      </c>
      <c r="B76" s="3" t="str">
        <f>TEXT(Table1[[#This Row],[Date]],"mmm")</f>
        <v>Mar</v>
      </c>
      <c r="C76" t="s">
        <v>13</v>
      </c>
      <c r="D76" t="s">
        <v>14</v>
      </c>
      <c r="E76">
        <v>3911</v>
      </c>
      <c r="F76" t="s">
        <v>7</v>
      </c>
      <c r="G76">
        <f>SUMIF(Table1[[#This Row],[Type]],"Expense",Table1[[#This Row],[Amount]])</f>
        <v>3911</v>
      </c>
      <c r="H76">
        <f t="shared" si="4"/>
        <v>0</v>
      </c>
      <c r="I76">
        <f t="shared" si="5"/>
        <v>-3911</v>
      </c>
    </row>
    <row r="77" spans="1:9" x14ac:dyDescent="0.3">
      <c r="A77" s="3">
        <v>46112</v>
      </c>
      <c r="B77" s="3" t="str">
        <f>TEXT(Table1[[#This Row],[Date]],"mmm")</f>
        <v>Mar</v>
      </c>
      <c r="C77" t="s">
        <v>13</v>
      </c>
      <c r="D77" t="s">
        <v>30</v>
      </c>
      <c r="E77">
        <v>870</v>
      </c>
      <c r="F77" t="s">
        <v>7</v>
      </c>
      <c r="G77">
        <f>SUMIF(Table1[[#This Row],[Type]],"Expense",Table1[[#This Row],[Amount]])</f>
        <v>870</v>
      </c>
      <c r="H77">
        <f t="shared" si="4"/>
        <v>0</v>
      </c>
      <c r="I77">
        <f t="shared" si="5"/>
        <v>-870</v>
      </c>
    </row>
    <row r="78" spans="1:9" x14ac:dyDescent="0.3">
      <c r="A78" s="3">
        <v>46114</v>
      </c>
      <c r="B78" s="3" t="str">
        <f>TEXT(Table1[[#This Row],[Date]],"mmm")</f>
        <v>Apr</v>
      </c>
      <c r="C78" t="s">
        <v>13</v>
      </c>
      <c r="D78" t="s">
        <v>30</v>
      </c>
      <c r="E78">
        <v>2265</v>
      </c>
      <c r="F78" t="s">
        <v>7</v>
      </c>
      <c r="G78">
        <f>SUMIF(Table1[[#This Row],[Type]],"Expense",Table1[[#This Row],[Amount]])</f>
        <v>2265</v>
      </c>
      <c r="H78">
        <f t="shared" si="4"/>
        <v>0</v>
      </c>
      <c r="I78">
        <f t="shared" si="5"/>
        <v>-2265</v>
      </c>
    </row>
    <row r="79" spans="1:9" x14ac:dyDescent="0.3">
      <c r="A79" s="3">
        <v>46117</v>
      </c>
      <c r="B79" s="3" t="str">
        <f>TEXT(Table1[[#This Row],[Date]],"mmm")</f>
        <v>Apr</v>
      </c>
      <c r="C79" t="s">
        <v>10</v>
      </c>
      <c r="D79" t="s">
        <v>17</v>
      </c>
      <c r="E79">
        <v>3106</v>
      </c>
      <c r="F79" t="s">
        <v>10</v>
      </c>
      <c r="G79">
        <f>SUMIF(Table1[[#This Row],[Type]],"Expense",Table1[[#This Row],[Amount]])</f>
        <v>0</v>
      </c>
      <c r="H79">
        <f t="shared" si="4"/>
        <v>3106</v>
      </c>
      <c r="I79">
        <f t="shared" si="5"/>
        <v>3106</v>
      </c>
    </row>
    <row r="80" spans="1:9" x14ac:dyDescent="0.3">
      <c r="A80" s="3">
        <v>46117</v>
      </c>
      <c r="B80" s="3" t="str">
        <f>TEXT(Table1[[#This Row],[Date]],"mmm")</f>
        <v>Apr</v>
      </c>
      <c r="C80" t="s">
        <v>18</v>
      </c>
      <c r="D80" t="s">
        <v>25</v>
      </c>
      <c r="E80">
        <v>1437</v>
      </c>
      <c r="F80" t="s">
        <v>7</v>
      </c>
      <c r="G80">
        <f>SUMIF(Table1[[#This Row],[Type]],"Expense",Table1[[#This Row],[Amount]])</f>
        <v>1437</v>
      </c>
      <c r="H80">
        <f t="shared" si="4"/>
        <v>0</v>
      </c>
      <c r="I80">
        <f t="shared" si="5"/>
        <v>-1437</v>
      </c>
    </row>
    <row r="81" spans="1:9" x14ac:dyDescent="0.3">
      <c r="A81" s="3">
        <v>46118</v>
      </c>
      <c r="B81" s="3" t="str">
        <f>TEXT(Table1[[#This Row],[Date]],"mmm")</f>
        <v>Apr</v>
      </c>
      <c r="C81" t="s">
        <v>10</v>
      </c>
      <c r="D81" t="s">
        <v>11</v>
      </c>
      <c r="E81">
        <v>5801</v>
      </c>
      <c r="F81" t="s">
        <v>10</v>
      </c>
      <c r="G81">
        <f>SUMIF(Table1[[#This Row],[Type]],"Expense",Table1[[#This Row],[Amount]])</f>
        <v>0</v>
      </c>
      <c r="H81">
        <f t="shared" si="4"/>
        <v>5801</v>
      </c>
      <c r="I81">
        <f t="shared" si="5"/>
        <v>5801</v>
      </c>
    </row>
    <row r="82" spans="1:9" x14ac:dyDescent="0.3">
      <c r="A82" s="3">
        <v>46118</v>
      </c>
      <c r="B82" s="3" t="str">
        <f>TEXT(Table1[[#This Row],[Date]],"mmm")</f>
        <v>Apr</v>
      </c>
      <c r="C82" t="s">
        <v>5</v>
      </c>
      <c r="D82" t="s">
        <v>22</v>
      </c>
      <c r="E82">
        <v>547</v>
      </c>
      <c r="F82" t="s">
        <v>7</v>
      </c>
      <c r="G82">
        <f>SUMIF(Table1[[#This Row],[Type]],"Expense",Table1[[#This Row],[Amount]])</f>
        <v>547</v>
      </c>
      <c r="H82">
        <f t="shared" si="4"/>
        <v>0</v>
      </c>
      <c r="I82">
        <f t="shared" si="5"/>
        <v>-547</v>
      </c>
    </row>
    <row r="83" spans="1:9" x14ac:dyDescent="0.3">
      <c r="A83" s="3">
        <v>46125</v>
      </c>
      <c r="B83" s="3" t="str">
        <f>TEXT(Table1[[#This Row],[Date]],"mmm")</f>
        <v>Apr</v>
      </c>
      <c r="C83" t="s">
        <v>8</v>
      </c>
      <c r="D83" t="s">
        <v>9</v>
      </c>
      <c r="E83">
        <v>4047</v>
      </c>
      <c r="F83" t="s">
        <v>7</v>
      </c>
      <c r="G83">
        <f>SUMIF(Table1[[#This Row],[Type]],"Expense",Table1[[#This Row],[Amount]])</f>
        <v>4047</v>
      </c>
      <c r="H83">
        <f t="shared" si="4"/>
        <v>0</v>
      </c>
      <c r="I83">
        <f t="shared" si="5"/>
        <v>-4047</v>
      </c>
    </row>
    <row r="84" spans="1:9" x14ac:dyDescent="0.3">
      <c r="A84" s="3">
        <v>46125</v>
      </c>
      <c r="B84" s="3" t="str">
        <f>TEXT(Table1[[#This Row],[Date]],"mmm")</f>
        <v>Apr</v>
      </c>
      <c r="C84" t="s">
        <v>15</v>
      </c>
      <c r="D84" t="s">
        <v>16</v>
      </c>
      <c r="E84">
        <v>4936</v>
      </c>
      <c r="F84" t="s">
        <v>7</v>
      </c>
      <c r="G84">
        <f>SUMIF(Table1[[#This Row],[Type]],"Expense",Table1[[#This Row],[Amount]])</f>
        <v>4936</v>
      </c>
      <c r="H84">
        <f t="shared" si="4"/>
        <v>0</v>
      </c>
      <c r="I84">
        <f t="shared" si="5"/>
        <v>-4936</v>
      </c>
    </row>
    <row r="85" spans="1:9" x14ac:dyDescent="0.3">
      <c r="A85" s="3">
        <v>46125</v>
      </c>
      <c r="B85" s="3" t="str">
        <f>TEXT(Table1[[#This Row],[Date]],"mmm")</f>
        <v>Apr</v>
      </c>
      <c r="C85" t="s">
        <v>15</v>
      </c>
      <c r="D85" t="s">
        <v>16</v>
      </c>
      <c r="E85">
        <v>2785</v>
      </c>
      <c r="F85" t="s">
        <v>7</v>
      </c>
      <c r="G85">
        <f>SUMIF(Table1[[#This Row],[Type]],"Expense",Table1[[#This Row],[Amount]])</f>
        <v>2785</v>
      </c>
      <c r="H85">
        <f t="shared" si="4"/>
        <v>0</v>
      </c>
      <c r="I85">
        <f t="shared" si="5"/>
        <v>-2785</v>
      </c>
    </row>
    <row r="86" spans="1:9" x14ac:dyDescent="0.3">
      <c r="A86" s="3">
        <v>46125</v>
      </c>
      <c r="B86" s="3" t="str">
        <f>TEXT(Table1[[#This Row],[Date]],"mmm")</f>
        <v>Apr</v>
      </c>
      <c r="C86" t="s">
        <v>10</v>
      </c>
      <c r="D86" t="s">
        <v>12</v>
      </c>
      <c r="E86">
        <v>5720</v>
      </c>
      <c r="F86" t="s">
        <v>10</v>
      </c>
      <c r="G86">
        <f>SUMIF(Table1[[#This Row],[Type]],"Expense",Table1[[#This Row],[Amount]])</f>
        <v>0</v>
      </c>
      <c r="H86">
        <f t="shared" si="4"/>
        <v>5720</v>
      </c>
      <c r="I86">
        <f t="shared" si="5"/>
        <v>5720</v>
      </c>
    </row>
    <row r="87" spans="1:9" x14ac:dyDescent="0.3">
      <c r="A87" s="3">
        <v>46128</v>
      </c>
      <c r="B87" s="3" t="str">
        <f>TEXT(Table1[[#This Row],[Date]],"mmm")</f>
        <v>Apr</v>
      </c>
      <c r="C87" t="s">
        <v>13</v>
      </c>
      <c r="D87" t="s">
        <v>23</v>
      </c>
      <c r="E87">
        <v>1766</v>
      </c>
      <c r="F87" t="s">
        <v>7</v>
      </c>
      <c r="G87">
        <f>SUMIF(Table1[[#This Row],[Type]],"Expense",Table1[[#This Row],[Amount]])</f>
        <v>1766</v>
      </c>
      <c r="H87">
        <f t="shared" si="4"/>
        <v>0</v>
      </c>
      <c r="I87">
        <f t="shared" si="5"/>
        <v>-1766</v>
      </c>
    </row>
    <row r="88" spans="1:9" x14ac:dyDescent="0.3">
      <c r="A88" s="3">
        <v>46128</v>
      </c>
      <c r="B88" s="3" t="str">
        <f>TEXT(Table1[[#This Row],[Date]],"mmm")</f>
        <v>Apr</v>
      </c>
      <c r="C88" t="s">
        <v>10</v>
      </c>
      <c r="D88" t="s">
        <v>26</v>
      </c>
      <c r="E88">
        <v>8345</v>
      </c>
      <c r="F88" t="s">
        <v>10</v>
      </c>
      <c r="G88">
        <f>SUMIF(Table1[[#This Row],[Type]],"Expense",Table1[[#This Row],[Amount]])</f>
        <v>0</v>
      </c>
      <c r="H88">
        <f t="shared" si="4"/>
        <v>8345</v>
      </c>
      <c r="I88">
        <f t="shared" si="5"/>
        <v>8345</v>
      </c>
    </row>
    <row r="89" spans="1:9" x14ac:dyDescent="0.3">
      <c r="A89" s="3">
        <v>46131</v>
      </c>
      <c r="B89" s="3" t="str">
        <f>TEXT(Table1[[#This Row],[Date]],"mmm")</f>
        <v>Apr</v>
      </c>
      <c r="C89" t="s">
        <v>5</v>
      </c>
      <c r="D89" t="s">
        <v>6</v>
      </c>
      <c r="E89">
        <v>1508</v>
      </c>
      <c r="F89" t="s">
        <v>7</v>
      </c>
      <c r="G89">
        <f>SUMIF(Table1[[#This Row],[Type]],"Expense",Table1[[#This Row],[Amount]])</f>
        <v>1508</v>
      </c>
      <c r="H89">
        <f t="shared" si="4"/>
        <v>0</v>
      </c>
      <c r="I89">
        <f t="shared" si="5"/>
        <v>-1508</v>
      </c>
    </row>
    <row r="90" spans="1:9" x14ac:dyDescent="0.3">
      <c r="A90" s="3">
        <v>46131</v>
      </c>
      <c r="B90" s="3" t="str">
        <f>TEXT(Table1[[#This Row],[Date]],"mmm")</f>
        <v>Apr</v>
      </c>
      <c r="C90" t="s">
        <v>8</v>
      </c>
      <c r="D90" t="s">
        <v>9</v>
      </c>
      <c r="E90">
        <v>348</v>
      </c>
      <c r="F90" t="s">
        <v>7</v>
      </c>
      <c r="G90">
        <f>SUMIF(Table1[[#This Row],[Type]],"Expense",Table1[[#This Row],[Amount]])</f>
        <v>348</v>
      </c>
      <c r="H90">
        <f t="shared" si="4"/>
        <v>0</v>
      </c>
      <c r="I90">
        <f t="shared" si="5"/>
        <v>-348</v>
      </c>
    </row>
    <row r="91" spans="1:9" x14ac:dyDescent="0.3">
      <c r="A91" s="3">
        <v>46132</v>
      </c>
      <c r="B91" s="3" t="str">
        <f>TEXT(Table1[[#This Row],[Date]],"mmm")</f>
        <v>Apr</v>
      </c>
      <c r="C91" t="s">
        <v>10</v>
      </c>
      <c r="D91" t="s">
        <v>26</v>
      </c>
      <c r="E91">
        <v>16210</v>
      </c>
      <c r="F91" t="s">
        <v>10</v>
      </c>
      <c r="G91">
        <f>SUMIF(Table1[[#This Row],[Type]],"Expense",Table1[[#This Row],[Amount]])</f>
        <v>0</v>
      </c>
      <c r="H91">
        <f t="shared" si="4"/>
        <v>16210</v>
      </c>
      <c r="I91">
        <f t="shared" si="5"/>
        <v>16210</v>
      </c>
    </row>
    <row r="92" spans="1:9" x14ac:dyDescent="0.3">
      <c r="A92" s="3">
        <v>46133</v>
      </c>
      <c r="B92" s="3" t="str">
        <f>TEXT(Table1[[#This Row],[Date]],"mmm")</f>
        <v>Apr</v>
      </c>
      <c r="C92" t="s">
        <v>10</v>
      </c>
      <c r="D92" t="s">
        <v>12</v>
      </c>
      <c r="E92">
        <v>11737</v>
      </c>
      <c r="F92" t="s">
        <v>10</v>
      </c>
      <c r="G92">
        <f>SUMIF(Table1[[#This Row],[Type]],"Expense",Table1[[#This Row],[Amount]])</f>
        <v>0</v>
      </c>
      <c r="H92">
        <f t="shared" si="4"/>
        <v>11737</v>
      </c>
      <c r="I92">
        <f t="shared" si="5"/>
        <v>11737</v>
      </c>
    </row>
    <row r="93" spans="1:9" x14ac:dyDescent="0.3">
      <c r="A93" s="3">
        <v>46138</v>
      </c>
      <c r="B93" s="3" t="str">
        <f>TEXT(Table1[[#This Row],[Date]],"mmm")</f>
        <v>Apr</v>
      </c>
      <c r="C93" t="s">
        <v>8</v>
      </c>
      <c r="D93" t="s">
        <v>31</v>
      </c>
      <c r="E93">
        <v>3225</v>
      </c>
      <c r="F93" t="s">
        <v>7</v>
      </c>
      <c r="G93">
        <f>SUMIF(Table1[[#This Row],[Type]],"Expense",Table1[[#This Row],[Amount]])</f>
        <v>3225</v>
      </c>
      <c r="H93">
        <f t="shared" si="4"/>
        <v>0</v>
      </c>
      <c r="I93">
        <f t="shared" si="5"/>
        <v>-3225</v>
      </c>
    </row>
    <row r="94" spans="1:9" x14ac:dyDescent="0.3">
      <c r="A94" s="3">
        <v>46138</v>
      </c>
      <c r="B94" s="3" t="str">
        <f>TEXT(Table1[[#This Row],[Date]],"mmm")</f>
        <v>Apr</v>
      </c>
      <c r="C94" t="s">
        <v>18</v>
      </c>
      <c r="D94" t="s">
        <v>35</v>
      </c>
      <c r="E94">
        <v>53</v>
      </c>
      <c r="F94" t="s">
        <v>7</v>
      </c>
      <c r="G94">
        <f>SUMIF(Table1[[#This Row],[Type]],"Expense",Table1[[#This Row],[Amount]])</f>
        <v>53</v>
      </c>
      <c r="H94">
        <f t="shared" si="4"/>
        <v>0</v>
      </c>
      <c r="I94">
        <f t="shared" si="5"/>
        <v>-53</v>
      </c>
    </row>
    <row r="95" spans="1:9" x14ac:dyDescent="0.3">
      <c r="A95" s="3">
        <v>46138</v>
      </c>
      <c r="B95" s="3" t="str">
        <f>TEXT(Table1[[#This Row],[Date]],"mmm")</f>
        <v>Apr</v>
      </c>
      <c r="C95" t="s">
        <v>18</v>
      </c>
      <c r="D95" t="s">
        <v>19</v>
      </c>
      <c r="E95">
        <v>3677</v>
      </c>
      <c r="F95" t="s">
        <v>7</v>
      </c>
      <c r="G95">
        <f>SUMIF(Table1[[#This Row],[Type]],"Expense",Table1[[#This Row],[Amount]])</f>
        <v>3677</v>
      </c>
      <c r="H95">
        <f t="shared" si="4"/>
        <v>0</v>
      </c>
      <c r="I95">
        <f t="shared" si="5"/>
        <v>-3677</v>
      </c>
    </row>
    <row r="96" spans="1:9" x14ac:dyDescent="0.3">
      <c r="A96" s="3">
        <v>46140</v>
      </c>
      <c r="B96" s="3" t="str">
        <f>TEXT(Table1[[#This Row],[Date]],"mmm")</f>
        <v>Apr</v>
      </c>
      <c r="C96" t="s">
        <v>10</v>
      </c>
      <c r="D96" t="s">
        <v>12</v>
      </c>
      <c r="E96">
        <v>19033</v>
      </c>
      <c r="F96" t="s">
        <v>10</v>
      </c>
      <c r="G96">
        <f>SUMIF(Table1[[#This Row],[Type]],"Expense",Table1[[#This Row],[Amount]])</f>
        <v>0</v>
      </c>
      <c r="H96">
        <f t="shared" si="4"/>
        <v>19033</v>
      </c>
      <c r="I96">
        <f t="shared" si="5"/>
        <v>19033</v>
      </c>
    </row>
    <row r="97" spans="1:9" x14ac:dyDescent="0.3">
      <c r="A97" s="3">
        <v>46141</v>
      </c>
      <c r="B97" s="3" t="str">
        <f>TEXT(Table1[[#This Row],[Date]],"mmm")</f>
        <v>Apr</v>
      </c>
      <c r="C97" t="s">
        <v>13</v>
      </c>
      <c r="D97" t="s">
        <v>23</v>
      </c>
      <c r="E97">
        <v>3257</v>
      </c>
      <c r="F97" t="s">
        <v>7</v>
      </c>
      <c r="G97">
        <f>SUMIF(Table1[[#This Row],[Type]],"Expense",Table1[[#This Row],[Amount]])</f>
        <v>3257</v>
      </c>
      <c r="H97">
        <f t="shared" si="4"/>
        <v>0</v>
      </c>
      <c r="I97">
        <f t="shared" si="5"/>
        <v>-3257</v>
      </c>
    </row>
    <row r="98" spans="1:9" x14ac:dyDescent="0.3">
      <c r="A98" s="3">
        <v>46143</v>
      </c>
      <c r="B98" s="3" t="str">
        <f>TEXT(Table1[[#This Row],[Date]],"mmm")</f>
        <v>May</v>
      </c>
      <c r="C98" t="s">
        <v>36</v>
      </c>
      <c r="D98" t="s">
        <v>38</v>
      </c>
      <c r="E98">
        <v>1313</v>
      </c>
      <c r="F98" t="s">
        <v>7</v>
      </c>
      <c r="G98">
        <f>SUMIF(Table1[[#This Row],[Type]],"Expense",Table1[[#This Row],[Amount]])</f>
        <v>1313</v>
      </c>
      <c r="H98">
        <f t="shared" ref="H98:H129" si="6">SUMIF(F98,"Income",E98)</f>
        <v>0</v>
      </c>
      <c r="I98">
        <f t="shared" ref="I98:I129" si="7">H98-G98</f>
        <v>-1313</v>
      </c>
    </row>
    <row r="99" spans="1:9" x14ac:dyDescent="0.3">
      <c r="A99" s="3">
        <v>46144</v>
      </c>
      <c r="B99" s="3" t="str">
        <f>TEXT(Table1[[#This Row],[Date]],"mmm")</f>
        <v>May</v>
      </c>
      <c r="C99" t="s">
        <v>10</v>
      </c>
      <c r="D99" t="s">
        <v>17</v>
      </c>
      <c r="E99">
        <v>13944</v>
      </c>
      <c r="F99" t="s">
        <v>10</v>
      </c>
      <c r="G99">
        <f>SUMIF(Table1[[#This Row],[Type]],"Expense",Table1[[#This Row],[Amount]])</f>
        <v>0</v>
      </c>
      <c r="H99">
        <f t="shared" si="6"/>
        <v>13944</v>
      </c>
      <c r="I99">
        <f t="shared" si="7"/>
        <v>13944</v>
      </c>
    </row>
    <row r="100" spans="1:9" x14ac:dyDescent="0.3">
      <c r="A100" s="3">
        <v>46147</v>
      </c>
      <c r="B100" s="3" t="str">
        <f>TEXT(Table1[[#This Row],[Date]],"mmm")</f>
        <v>May</v>
      </c>
      <c r="C100" t="s">
        <v>20</v>
      </c>
      <c r="D100" t="s">
        <v>21</v>
      </c>
      <c r="E100">
        <v>2914</v>
      </c>
      <c r="F100" t="s">
        <v>7</v>
      </c>
      <c r="G100">
        <f>SUMIF(Table1[[#This Row],[Type]],"Expense",Table1[[#This Row],[Amount]])</f>
        <v>2914</v>
      </c>
      <c r="H100">
        <f t="shared" si="6"/>
        <v>0</v>
      </c>
      <c r="I100">
        <f t="shared" si="7"/>
        <v>-2914</v>
      </c>
    </row>
    <row r="101" spans="1:9" x14ac:dyDescent="0.3">
      <c r="A101" s="3">
        <v>46148</v>
      </c>
      <c r="B101" s="3" t="str">
        <f>TEXT(Table1[[#This Row],[Date]],"mmm")</f>
        <v>May</v>
      </c>
      <c r="C101" t="s">
        <v>13</v>
      </c>
      <c r="D101" t="s">
        <v>30</v>
      </c>
      <c r="E101">
        <v>76</v>
      </c>
      <c r="F101" t="s">
        <v>7</v>
      </c>
      <c r="G101">
        <f>SUMIF(Table1[[#This Row],[Type]],"Expense",Table1[[#This Row],[Amount]])</f>
        <v>76</v>
      </c>
      <c r="H101">
        <f t="shared" si="6"/>
        <v>0</v>
      </c>
      <c r="I101">
        <f t="shared" si="7"/>
        <v>-76</v>
      </c>
    </row>
    <row r="102" spans="1:9" x14ac:dyDescent="0.3">
      <c r="A102" s="3">
        <v>46148</v>
      </c>
      <c r="B102" s="3" t="str">
        <f>TEXT(Table1[[#This Row],[Date]],"mmm")</f>
        <v>May</v>
      </c>
      <c r="C102" t="s">
        <v>20</v>
      </c>
      <c r="D102" t="s">
        <v>21</v>
      </c>
      <c r="E102">
        <v>2003</v>
      </c>
      <c r="F102" t="s">
        <v>7</v>
      </c>
      <c r="G102">
        <f>SUMIF(Table1[[#This Row],[Type]],"Expense",Table1[[#This Row],[Amount]])</f>
        <v>2003</v>
      </c>
      <c r="H102">
        <f t="shared" si="6"/>
        <v>0</v>
      </c>
      <c r="I102">
        <f t="shared" si="7"/>
        <v>-2003</v>
      </c>
    </row>
    <row r="103" spans="1:9" x14ac:dyDescent="0.3">
      <c r="A103" s="3">
        <v>46148</v>
      </c>
      <c r="B103" s="3" t="str">
        <f>TEXT(Table1[[#This Row],[Date]],"mmm")</f>
        <v>May</v>
      </c>
      <c r="C103" t="s">
        <v>15</v>
      </c>
      <c r="D103" t="s">
        <v>40</v>
      </c>
      <c r="E103">
        <v>2601</v>
      </c>
      <c r="F103" t="s">
        <v>7</v>
      </c>
      <c r="G103">
        <f>SUMIF(Table1[[#This Row],[Type]],"Expense",Table1[[#This Row],[Amount]])</f>
        <v>2601</v>
      </c>
      <c r="H103">
        <f t="shared" si="6"/>
        <v>0</v>
      </c>
      <c r="I103">
        <f t="shared" si="7"/>
        <v>-2601</v>
      </c>
    </row>
    <row r="104" spans="1:9" x14ac:dyDescent="0.3">
      <c r="A104" s="3">
        <v>46155</v>
      </c>
      <c r="B104" s="3" t="str">
        <f>TEXT(Table1[[#This Row],[Date]],"mmm")</f>
        <v>May</v>
      </c>
      <c r="C104" t="s">
        <v>10</v>
      </c>
      <c r="D104" t="s">
        <v>11</v>
      </c>
      <c r="E104">
        <v>5064</v>
      </c>
      <c r="F104" t="s">
        <v>10</v>
      </c>
      <c r="G104">
        <f>SUMIF(Table1[[#This Row],[Type]],"Expense",Table1[[#This Row],[Amount]])</f>
        <v>0</v>
      </c>
      <c r="H104">
        <f t="shared" si="6"/>
        <v>5064</v>
      </c>
      <c r="I104">
        <f t="shared" si="7"/>
        <v>5064</v>
      </c>
    </row>
    <row r="105" spans="1:9" x14ac:dyDescent="0.3">
      <c r="A105" s="3">
        <v>46155</v>
      </c>
      <c r="B105" s="3" t="str">
        <f>TEXT(Table1[[#This Row],[Date]],"mmm")</f>
        <v>May</v>
      </c>
      <c r="C105" t="s">
        <v>13</v>
      </c>
      <c r="D105" t="s">
        <v>14</v>
      </c>
      <c r="E105">
        <v>2608</v>
      </c>
      <c r="F105" t="s">
        <v>7</v>
      </c>
      <c r="G105">
        <f>SUMIF(Table1[[#This Row],[Type]],"Expense",Table1[[#This Row],[Amount]])</f>
        <v>2608</v>
      </c>
      <c r="H105">
        <f t="shared" si="6"/>
        <v>0</v>
      </c>
      <c r="I105">
        <f t="shared" si="7"/>
        <v>-2608</v>
      </c>
    </row>
    <row r="106" spans="1:9" x14ac:dyDescent="0.3">
      <c r="A106" s="3">
        <v>46156</v>
      </c>
      <c r="B106" s="3" t="str">
        <f>TEXT(Table1[[#This Row],[Date]],"mmm")</f>
        <v>May</v>
      </c>
      <c r="C106" t="s">
        <v>20</v>
      </c>
      <c r="D106" t="s">
        <v>21</v>
      </c>
      <c r="E106">
        <v>2149</v>
      </c>
      <c r="F106" t="s">
        <v>7</v>
      </c>
      <c r="G106">
        <f>SUMIF(Table1[[#This Row],[Type]],"Expense",Table1[[#This Row],[Amount]])</f>
        <v>2149</v>
      </c>
      <c r="H106">
        <f t="shared" si="6"/>
        <v>0</v>
      </c>
      <c r="I106">
        <f t="shared" si="7"/>
        <v>-2149</v>
      </c>
    </row>
    <row r="107" spans="1:9" x14ac:dyDescent="0.3">
      <c r="A107" s="3">
        <v>46156</v>
      </c>
      <c r="B107" s="3" t="str">
        <f>TEXT(Table1[[#This Row],[Date]],"mmm")</f>
        <v>May</v>
      </c>
      <c r="C107" t="s">
        <v>5</v>
      </c>
      <c r="D107" t="s">
        <v>6</v>
      </c>
      <c r="E107">
        <v>4684</v>
      </c>
      <c r="F107" t="s">
        <v>7</v>
      </c>
      <c r="G107">
        <f>SUMIF(Table1[[#This Row],[Type]],"Expense",Table1[[#This Row],[Amount]])</f>
        <v>4684</v>
      </c>
      <c r="H107">
        <f t="shared" si="6"/>
        <v>0</v>
      </c>
      <c r="I107">
        <f t="shared" si="7"/>
        <v>-4684</v>
      </c>
    </row>
    <row r="108" spans="1:9" x14ac:dyDescent="0.3">
      <c r="A108" s="3">
        <v>46158</v>
      </c>
      <c r="B108" s="3" t="str">
        <f>TEXT(Table1[[#This Row],[Date]],"mmm")</f>
        <v>May</v>
      </c>
      <c r="C108" t="s">
        <v>10</v>
      </c>
      <c r="D108" t="s">
        <v>17</v>
      </c>
      <c r="E108">
        <v>4262</v>
      </c>
      <c r="F108" t="s">
        <v>10</v>
      </c>
      <c r="G108">
        <f>SUMIF(Table1[[#This Row],[Type]],"Expense",Table1[[#This Row],[Amount]])</f>
        <v>0</v>
      </c>
      <c r="H108">
        <f t="shared" si="6"/>
        <v>4262</v>
      </c>
      <c r="I108">
        <f t="shared" si="7"/>
        <v>4262</v>
      </c>
    </row>
    <row r="109" spans="1:9" x14ac:dyDescent="0.3">
      <c r="A109" s="3">
        <v>46159</v>
      </c>
      <c r="B109" s="3" t="str">
        <f>TEXT(Table1[[#This Row],[Date]],"mmm")</f>
        <v>May</v>
      </c>
      <c r="C109" t="s">
        <v>20</v>
      </c>
      <c r="D109" t="s">
        <v>33</v>
      </c>
      <c r="E109">
        <v>4847</v>
      </c>
      <c r="F109" t="s">
        <v>7</v>
      </c>
      <c r="G109">
        <f>SUMIF(Table1[[#This Row],[Type]],"Expense",Table1[[#This Row],[Amount]])</f>
        <v>4847</v>
      </c>
      <c r="H109">
        <f t="shared" si="6"/>
        <v>0</v>
      </c>
      <c r="I109">
        <f t="shared" si="7"/>
        <v>-4847</v>
      </c>
    </row>
    <row r="110" spans="1:9" x14ac:dyDescent="0.3">
      <c r="A110" s="3">
        <v>46161</v>
      </c>
      <c r="B110" s="3" t="str">
        <f>TEXT(Table1[[#This Row],[Date]],"mmm")</f>
        <v>May</v>
      </c>
      <c r="C110" t="s">
        <v>10</v>
      </c>
      <c r="D110" t="s">
        <v>28</v>
      </c>
      <c r="E110">
        <v>3773</v>
      </c>
      <c r="F110" t="s">
        <v>10</v>
      </c>
      <c r="G110">
        <f>SUMIF(Table1[[#This Row],[Type]],"Expense",Table1[[#This Row],[Amount]])</f>
        <v>0</v>
      </c>
      <c r="H110">
        <f t="shared" si="6"/>
        <v>3773</v>
      </c>
      <c r="I110">
        <f t="shared" si="7"/>
        <v>3773</v>
      </c>
    </row>
    <row r="111" spans="1:9" x14ac:dyDescent="0.3">
      <c r="A111" s="3">
        <v>46163</v>
      </c>
      <c r="B111" s="3" t="str">
        <f>TEXT(Table1[[#This Row],[Date]],"mmm")</f>
        <v>May</v>
      </c>
      <c r="C111" t="s">
        <v>10</v>
      </c>
      <c r="D111" t="s">
        <v>26</v>
      </c>
      <c r="E111">
        <v>14134</v>
      </c>
      <c r="F111" t="s">
        <v>10</v>
      </c>
      <c r="G111">
        <f>SUMIF(Table1[[#This Row],[Type]],"Expense",Table1[[#This Row],[Amount]])</f>
        <v>0</v>
      </c>
      <c r="H111">
        <f t="shared" si="6"/>
        <v>14134</v>
      </c>
      <c r="I111">
        <f t="shared" si="7"/>
        <v>14134</v>
      </c>
    </row>
    <row r="112" spans="1:9" x14ac:dyDescent="0.3">
      <c r="A112" s="3">
        <v>46164</v>
      </c>
      <c r="B112" s="3" t="str">
        <f>TEXT(Table1[[#This Row],[Date]],"mmm")</f>
        <v>May</v>
      </c>
      <c r="C112" t="s">
        <v>15</v>
      </c>
      <c r="D112" t="s">
        <v>16</v>
      </c>
      <c r="E112">
        <v>2137</v>
      </c>
      <c r="F112" t="s">
        <v>7</v>
      </c>
      <c r="G112">
        <f>SUMIF(Table1[[#This Row],[Type]],"Expense",Table1[[#This Row],[Amount]])</f>
        <v>2137</v>
      </c>
      <c r="H112">
        <f t="shared" si="6"/>
        <v>0</v>
      </c>
      <c r="I112">
        <f t="shared" si="7"/>
        <v>-2137</v>
      </c>
    </row>
    <row r="113" spans="1:9" x14ac:dyDescent="0.3">
      <c r="A113" s="3">
        <v>46164</v>
      </c>
      <c r="B113" s="3" t="str">
        <f>TEXT(Table1[[#This Row],[Date]],"mmm")</f>
        <v>May</v>
      </c>
      <c r="C113" t="s">
        <v>10</v>
      </c>
      <c r="D113" t="s">
        <v>17</v>
      </c>
      <c r="E113">
        <v>4555</v>
      </c>
      <c r="F113" t="s">
        <v>10</v>
      </c>
      <c r="G113">
        <f>SUMIF(Table1[[#This Row],[Type]],"Expense",Table1[[#This Row],[Amount]])</f>
        <v>0</v>
      </c>
      <c r="H113">
        <f t="shared" si="6"/>
        <v>4555</v>
      </c>
      <c r="I113">
        <f t="shared" si="7"/>
        <v>4555</v>
      </c>
    </row>
    <row r="114" spans="1:9" x14ac:dyDescent="0.3">
      <c r="A114" s="3">
        <v>46166</v>
      </c>
      <c r="B114" s="3" t="str">
        <f>TEXT(Table1[[#This Row],[Date]],"mmm")</f>
        <v>May</v>
      </c>
      <c r="C114" t="s">
        <v>13</v>
      </c>
      <c r="D114" t="s">
        <v>30</v>
      </c>
      <c r="E114">
        <v>3180</v>
      </c>
      <c r="F114" t="s">
        <v>7</v>
      </c>
      <c r="G114">
        <f>SUMIF(Table1[[#This Row],[Type]],"Expense",Table1[[#This Row],[Amount]])</f>
        <v>3180</v>
      </c>
      <c r="H114">
        <f t="shared" si="6"/>
        <v>0</v>
      </c>
      <c r="I114">
        <f t="shared" si="7"/>
        <v>-3180</v>
      </c>
    </row>
    <row r="115" spans="1:9" x14ac:dyDescent="0.3">
      <c r="A115" s="3">
        <v>46167</v>
      </c>
      <c r="B115" s="3" t="str">
        <f>TEXT(Table1[[#This Row],[Date]],"mmm")</f>
        <v>May</v>
      </c>
      <c r="C115" t="s">
        <v>13</v>
      </c>
      <c r="D115" t="s">
        <v>23</v>
      </c>
      <c r="E115">
        <v>3212</v>
      </c>
      <c r="F115" t="s">
        <v>7</v>
      </c>
      <c r="G115">
        <f>SUMIF(Table1[[#This Row],[Type]],"Expense",Table1[[#This Row],[Amount]])</f>
        <v>3212</v>
      </c>
      <c r="H115">
        <f t="shared" si="6"/>
        <v>0</v>
      </c>
      <c r="I115">
        <f t="shared" si="7"/>
        <v>-3212</v>
      </c>
    </row>
    <row r="116" spans="1:9" x14ac:dyDescent="0.3">
      <c r="A116" s="3">
        <v>46168</v>
      </c>
      <c r="B116" s="3" t="str">
        <f>TEXT(Table1[[#This Row],[Date]],"mmm")</f>
        <v>May</v>
      </c>
      <c r="C116" t="s">
        <v>13</v>
      </c>
      <c r="D116" t="s">
        <v>30</v>
      </c>
      <c r="E116">
        <v>3985</v>
      </c>
      <c r="F116" t="s">
        <v>7</v>
      </c>
      <c r="G116">
        <f>SUMIF(Table1[[#This Row],[Type]],"Expense",Table1[[#This Row],[Amount]])</f>
        <v>3985</v>
      </c>
      <c r="H116">
        <f t="shared" si="6"/>
        <v>0</v>
      </c>
      <c r="I116">
        <f t="shared" si="7"/>
        <v>-3985</v>
      </c>
    </row>
    <row r="117" spans="1:9" x14ac:dyDescent="0.3">
      <c r="A117" s="3">
        <v>46170</v>
      </c>
      <c r="B117" s="3" t="str">
        <f>TEXT(Table1[[#This Row],[Date]],"mmm")</f>
        <v>May</v>
      </c>
      <c r="C117" t="s">
        <v>18</v>
      </c>
      <c r="D117" t="s">
        <v>19</v>
      </c>
      <c r="E117">
        <v>813</v>
      </c>
      <c r="F117" t="s">
        <v>7</v>
      </c>
      <c r="G117">
        <f>SUMIF(Table1[[#This Row],[Type]],"Expense",Table1[[#This Row],[Amount]])</f>
        <v>813</v>
      </c>
      <c r="H117">
        <f t="shared" si="6"/>
        <v>0</v>
      </c>
      <c r="I117">
        <f t="shared" si="7"/>
        <v>-813</v>
      </c>
    </row>
    <row r="118" spans="1:9" x14ac:dyDescent="0.3">
      <c r="A118" s="3">
        <v>46170</v>
      </c>
      <c r="B118" s="3" t="str">
        <f>TEXT(Table1[[#This Row],[Date]],"mmm")</f>
        <v>May</v>
      </c>
      <c r="C118" t="s">
        <v>10</v>
      </c>
      <c r="D118" t="s">
        <v>26</v>
      </c>
      <c r="E118">
        <v>13336</v>
      </c>
      <c r="F118" t="s">
        <v>10</v>
      </c>
      <c r="G118">
        <f>SUMIF(Table1[[#This Row],[Type]],"Expense",Table1[[#This Row],[Amount]])</f>
        <v>0</v>
      </c>
      <c r="H118">
        <f t="shared" si="6"/>
        <v>13336</v>
      </c>
      <c r="I118">
        <f t="shared" si="7"/>
        <v>13336</v>
      </c>
    </row>
    <row r="119" spans="1:9" x14ac:dyDescent="0.3">
      <c r="A119" s="3">
        <v>46173</v>
      </c>
      <c r="B119" s="3" t="str">
        <f>TEXT(Table1[[#This Row],[Date]],"mmm")</f>
        <v>May</v>
      </c>
      <c r="C119" t="s">
        <v>18</v>
      </c>
      <c r="D119" t="s">
        <v>34</v>
      </c>
      <c r="E119">
        <v>3210</v>
      </c>
      <c r="F119" t="s">
        <v>7</v>
      </c>
      <c r="G119">
        <f>SUMIF(Table1[[#This Row],[Type]],"Expense",Table1[[#This Row],[Amount]])</f>
        <v>3210</v>
      </c>
      <c r="H119">
        <f t="shared" si="6"/>
        <v>0</v>
      </c>
      <c r="I119">
        <f t="shared" si="7"/>
        <v>-3210</v>
      </c>
    </row>
    <row r="120" spans="1:9" x14ac:dyDescent="0.3">
      <c r="A120" s="3">
        <v>46174</v>
      </c>
      <c r="B120" s="3" t="str">
        <f>TEXT(Table1[[#This Row],[Date]],"mmm")</f>
        <v>Jun</v>
      </c>
      <c r="C120" t="s">
        <v>36</v>
      </c>
      <c r="D120" t="s">
        <v>37</v>
      </c>
      <c r="E120">
        <v>289</v>
      </c>
      <c r="F120" t="s">
        <v>7</v>
      </c>
      <c r="G120">
        <f>SUMIF(Table1[[#This Row],[Type]],"Expense",Table1[[#This Row],[Amount]])</f>
        <v>289</v>
      </c>
      <c r="H120">
        <f t="shared" si="6"/>
        <v>0</v>
      </c>
      <c r="I120">
        <f t="shared" si="7"/>
        <v>-289</v>
      </c>
    </row>
    <row r="121" spans="1:9" x14ac:dyDescent="0.3">
      <c r="A121" s="3">
        <v>46175</v>
      </c>
      <c r="B121" s="3" t="str">
        <f>TEXT(Table1[[#This Row],[Date]],"mmm")</f>
        <v>Jun</v>
      </c>
      <c r="C121" t="s">
        <v>13</v>
      </c>
      <c r="D121" t="s">
        <v>14</v>
      </c>
      <c r="E121">
        <v>3868</v>
      </c>
      <c r="F121" t="s">
        <v>7</v>
      </c>
      <c r="G121">
        <f>SUMIF(Table1[[#This Row],[Type]],"Expense",Table1[[#This Row],[Amount]])</f>
        <v>3868</v>
      </c>
      <c r="H121">
        <f t="shared" si="6"/>
        <v>0</v>
      </c>
      <c r="I121">
        <f t="shared" si="7"/>
        <v>-3868</v>
      </c>
    </row>
    <row r="122" spans="1:9" x14ac:dyDescent="0.3">
      <c r="A122" s="3">
        <v>46175</v>
      </c>
      <c r="B122" s="3" t="str">
        <f>TEXT(Table1[[#This Row],[Date]],"mmm")</f>
        <v>Jun</v>
      </c>
      <c r="C122" t="s">
        <v>10</v>
      </c>
      <c r="D122" t="s">
        <v>17</v>
      </c>
      <c r="E122">
        <v>7268</v>
      </c>
      <c r="F122" t="s">
        <v>10</v>
      </c>
      <c r="G122">
        <f>SUMIF(Table1[[#This Row],[Type]],"Expense",Table1[[#This Row],[Amount]])</f>
        <v>0</v>
      </c>
      <c r="H122">
        <f t="shared" si="6"/>
        <v>7268</v>
      </c>
      <c r="I122">
        <f t="shared" si="7"/>
        <v>7268</v>
      </c>
    </row>
    <row r="123" spans="1:9" x14ac:dyDescent="0.3">
      <c r="A123" s="3">
        <v>46177</v>
      </c>
      <c r="B123" s="3" t="str">
        <f>TEXT(Table1[[#This Row],[Date]],"mmm")</f>
        <v>Jun</v>
      </c>
      <c r="C123" t="s">
        <v>10</v>
      </c>
      <c r="D123" t="s">
        <v>11</v>
      </c>
      <c r="E123">
        <v>12997</v>
      </c>
      <c r="F123" t="s">
        <v>10</v>
      </c>
      <c r="G123">
        <f>SUMIF(Table1[[#This Row],[Type]],"Expense",Table1[[#This Row],[Amount]])</f>
        <v>0</v>
      </c>
      <c r="H123">
        <f t="shared" si="6"/>
        <v>12997</v>
      </c>
      <c r="I123">
        <f t="shared" si="7"/>
        <v>12997</v>
      </c>
    </row>
    <row r="124" spans="1:9" x14ac:dyDescent="0.3">
      <c r="A124" s="3">
        <v>46177</v>
      </c>
      <c r="B124" s="3" t="str">
        <f>TEXT(Table1[[#This Row],[Date]],"mmm")</f>
        <v>Jun</v>
      </c>
      <c r="C124" t="s">
        <v>5</v>
      </c>
      <c r="D124" t="s">
        <v>22</v>
      </c>
      <c r="E124">
        <v>1533</v>
      </c>
      <c r="F124" t="s">
        <v>7</v>
      </c>
      <c r="G124">
        <f>SUMIF(Table1[[#This Row],[Type]],"Expense",Table1[[#This Row],[Amount]])</f>
        <v>1533</v>
      </c>
      <c r="H124">
        <f t="shared" si="6"/>
        <v>0</v>
      </c>
      <c r="I124">
        <f t="shared" si="7"/>
        <v>-1533</v>
      </c>
    </row>
    <row r="125" spans="1:9" x14ac:dyDescent="0.3">
      <c r="A125" s="3">
        <v>46178</v>
      </c>
      <c r="B125" s="3" t="str">
        <f>TEXT(Table1[[#This Row],[Date]],"mmm")</f>
        <v>Jun</v>
      </c>
      <c r="C125" t="s">
        <v>15</v>
      </c>
      <c r="D125" t="s">
        <v>16</v>
      </c>
      <c r="E125">
        <v>4401</v>
      </c>
      <c r="F125" t="s">
        <v>7</v>
      </c>
      <c r="G125">
        <f>SUMIF(Table1[[#This Row],[Type]],"Expense",Table1[[#This Row],[Amount]])</f>
        <v>4401</v>
      </c>
      <c r="H125">
        <f t="shared" si="6"/>
        <v>0</v>
      </c>
      <c r="I125">
        <f t="shared" si="7"/>
        <v>-4401</v>
      </c>
    </row>
    <row r="126" spans="1:9" x14ac:dyDescent="0.3">
      <c r="A126" s="3">
        <v>46179</v>
      </c>
      <c r="B126" s="3" t="str">
        <f>TEXT(Table1[[#This Row],[Date]],"mmm")</f>
        <v>Jun</v>
      </c>
      <c r="C126" t="s">
        <v>10</v>
      </c>
      <c r="D126" t="s">
        <v>28</v>
      </c>
      <c r="E126">
        <v>10739</v>
      </c>
      <c r="F126" t="s">
        <v>10</v>
      </c>
      <c r="G126">
        <f>SUMIF(Table1[[#This Row],[Type]],"Expense",Table1[[#This Row],[Amount]])</f>
        <v>0</v>
      </c>
      <c r="H126">
        <f t="shared" si="6"/>
        <v>10739</v>
      </c>
      <c r="I126">
        <f t="shared" si="7"/>
        <v>10739</v>
      </c>
    </row>
    <row r="127" spans="1:9" x14ac:dyDescent="0.3">
      <c r="A127" s="3">
        <v>46186</v>
      </c>
      <c r="B127" s="3" t="str">
        <f>TEXT(Table1[[#This Row],[Date]],"mmm")</f>
        <v>Jun</v>
      </c>
      <c r="C127" t="s">
        <v>20</v>
      </c>
      <c r="D127" t="s">
        <v>21</v>
      </c>
      <c r="E127">
        <v>4846</v>
      </c>
      <c r="F127" t="s">
        <v>7</v>
      </c>
      <c r="G127">
        <f>SUMIF(Table1[[#This Row],[Type]],"Expense",Table1[[#This Row],[Amount]])</f>
        <v>4846</v>
      </c>
      <c r="H127">
        <f t="shared" si="6"/>
        <v>0</v>
      </c>
      <c r="I127">
        <f t="shared" si="7"/>
        <v>-4846</v>
      </c>
    </row>
    <row r="128" spans="1:9" x14ac:dyDescent="0.3">
      <c r="A128" s="3">
        <v>46188</v>
      </c>
      <c r="B128" s="3" t="str">
        <f>TEXT(Table1[[#This Row],[Date]],"mmm")</f>
        <v>Jun</v>
      </c>
      <c r="C128" t="s">
        <v>10</v>
      </c>
      <c r="D128" t="s">
        <v>12</v>
      </c>
      <c r="E128">
        <v>3943</v>
      </c>
      <c r="F128" t="s">
        <v>10</v>
      </c>
      <c r="G128">
        <f>SUMIF(Table1[[#This Row],[Type]],"Expense",Table1[[#This Row],[Amount]])</f>
        <v>0</v>
      </c>
      <c r="H128">
        <f t="shared" si="6"/>
        <v>3943</v>
      </c>
      <c r="I128">
        <f t="shared" si="7"/>
        <v>3943</v>
      </c>
    </row>
    <row r="129" spans="1:12" x14ac:dyDescent="0.3">
      <c r="A129" s="3">
        <v>46188</v>
      </c>
      <c r="B129" s="3" t="str">
        <f>TEXT(Table1[[#This Row],[Date]],"mmm")</f>
        <v>Jun</v>
      </c>
      <c r="C129" t="s">
        <v>15</v>
      </c>
      <c r="D129" t="s">
        <v>40</v>
      </c>
      <c r="E129">
        <v>4593</v>
      </c>
      <c r="F129" t="s">
        <v>7</v>
      </c>
      <c r="G129">
        <f>SUMIF(Table1[[#This Row],[Type]],"Expense",Table1[[#This Row],[Amount]])</f>
        <v>4593</v>
      </c>
      <c r="H129">
        <f t="shared" si="6"/>
        <v>0</v>
      </c>
      <c r="I129">
        <f t="shared" si="7"/>
        <v>-4593</v>
      </c>
    </row>
    <row r="130" spans="1:12" x14ac:dyDescent="0.3">
      <c r="A130" s="3">
        <v>46189</v>
      </c>
      <c r="B130" s="3" t="str">
        <f>TEXT(Table1[[#This Row],[Date]],"mmm")</f>
        <v>Jun</v>
      </c>
      <c r="C130" t="s">
        <v>5</v>
      </c>
      <c r="D130" t="s">
        <v>39</v>
      </c>
      <c r="E130">
        <v>2786</v>
      </c>
      <c r="F130" t="s">
        <v>7</v>
      </c>
      <c r="G130">
        <f>SUMIF(Table1[[#This Row],[Type]],"Expense",Table1[[#This Row],[Amount]])</f>
        <v>2786</v>
      </c>
      <c r="H130">
        <f t="shared" ref="H130:H161" si="8">SUMIF(F130,"Income",E130)</f>
        <v>0</v>
      </c>
      <c r="I130">
        <f t="shared" ref="I130:I161" si="9">H130-G130</f>
        <v>-2786</v>
      </c>
    </row>
    <row r="131" spans="1:12" x14ac:dyDescent="0.3">
      <c r="A131" s="3">
        <v>46190</v>
      </c>
      <c r="B131" s="3" t="str">
        <f>TEXT(Table1[[#This Row],[Date]],"mmm")</f>
        <v>Jun</v>
      </c>
      <c r="C131" t="s">
        <v>8</v>
      </c>
      <c r="D131" t="s">
        <v>9</v>
      </c>
      <c r="E131">
        <v>4659</v>
      </c>
      <c r="F131" t="s">
        <v>7</v>
      </c>
      <c r="G131">
        <f>SUMIF(Table1[[#This Row],[Type]],"Expense",Table1[[#This Row],[Amount]])</f>
        <v>4659</v>
      </c>
      <c r="H131">
        <f t="shared" si="8"/>
        <v>0</v>
      </c>
      <c r="I131">
        <f t="shared" si="9"/>
        <v>-4659</v>
      </c>
    </row>
    <row r="132" spans="1:12" x14ac:dyDescent="0.3">
      <c r="A132" s="3">
        <v>46191</v>
      </c>
      <c r="B132" s="3" t="str">
        <f>TEXT(Table1[[#This Row],[Date]],"mmm")</f>
        <v>Jun</v>
      </c>
      <c r="C132" t="s">
        <v>15</v>
      </c>
      <c r="D132" t="s">
        <v>27</v>
      </c>
      <c r="E132">
        <v>2111</v>
      </c>
      <c r="F132" t="s">
        <v>7</v>
      </c>
      <c r="G132">
        <f>SUMIF(Table1[[#This Row],[Type]],"Expense",Table1[[#This Row],[Amount]])</f>
        <v>2111</v>
      </c>
      <c r="H132">
        <f t="shared" si="8"/>
        <v>0</v>
      </c>
      <c r="I132">
        <f t="shared" si="9"/>
        <v>-2111</v>
      </c>
    </row>
    <row r="133" spans="1:12" x14ac:dyDescent="0.3">
      <c r="A133" s="3">
        <v>46191</v>
      </c>
      <c r="B133" s="3" t="str">
        <f>TEXT(Table1[[#This Row],[Date]],"mmm")</f>
        <v>Jun</v>
      </c>
      <c r="C133" t="s">
        <v>13</v>
      </c>
      <c r="D133" t="s">
        <v>30</v>
      </c>
      <c r="E133">
        <v>1241</v>
      </c>
      <c r="F133" t="s">
        <v>7</v>
      </c>
      <c r="G133">
        <f>SUMIF(Table1[[#This Row],[Type]],"Expense",Table1[[#This Row],[Amount]])</f>
        <v>1241</v>
      </c>
      <c r="H133">
        <f t="shared" si="8"/>
        <v>0</v>
      </c>
      <c r="I133">
        <f t="shared" si="9"/>
        <v>-1241</v>
      </c>
    </row>
    <row r="134" spans="1:12" x14ac:dyDescent="0.3">
      <c r="A134" s="3">
        <v>46192</v>
      </c>
      <c r="B134" s="3" t="str">
        <f>TEXT(Table1[[#This Row],[Date]],"mmm")</f>
        <v>Jun</v>
      </c>
      <c r="C134" t="s">
        <v>15</v>
      </c>
      <c r="D134" t="s">
        <v>16</v>
      </c>
      <c r="E134">
        <v>2891</v>
      </c>
      <c r="F134" t="s">
        <v>7</v>
      </c>
      <c r="G134">
        <f>SUMIF(Table1[[#This Row],[Type]],"Expense",Table1[[#This Row],[Amount]])</f>
        <v>2891</v>
      </c>
      <c r="H134">
        <f t="shared" si="8"/>
        <v>0</v>
      </c>
      <c r="I134">
        <f t="shared" si="9"/>
        <v>-2891</v>
      </c>
    </row>
    <row r="135" spans="1:12" x14ac:dyDescent="0.3">
      <c r="A135" s="3">
        <v>46192</v>
      </c>
      <c r="B135" s="3" t="str">
        <f>TEXT(Table1[[#This Row],[Date]],"mmm")</f>
        <v>Jun</v>
      </c>
      <c r="C135" t="s">
        <v>15</v>
      </c>
      <c r="D135" t="s">
        <v>16</v>
      </c>
      <c r="E135">
        <v>1441</v>
      </c>
      <c r="F135" t="s">
        <v>7</v>
      </c>
      <c r="G135">
        <f>SUMIF(Table1[[#This Row],[Type]],"Expense",Table1[[#This Row],[Amount]])</f>
        <v>1441</v>
      </c>
      <c r="H135">
        <f t="shared" si="8"/>
        <v>0</v>
      </c>
      <c r="I135">
        <f t="shared" si="9"/>
        <v>-1441</v>
      </c>
    </row>
    <row r="136" spans="1:12" x14ac:dyDescent="0.3">
      <c r="A136" s="3">
        <v>46193</v>
      </c>
      <c r="B136" s="3" t="str">
        <f>TEXT(Table1[[#This Row],[Date]],"mmm")</f>
        <v>Jun</v>
      </c>
      <c r="C136" t="s">
        <v>15</v>
      </c>
      <c r="D136" t="s">
        <v>40</v>
      </c>
      <c r="E136">
        <v>928</v>
      </c>
      <c r="F136" t="s">
        <v>7</v>
      </c>
      <c r="G136">
        <f>SUMIF(Table1[[#This Row],[Type]],"Expense",Table1[[#This Row],[Amount]])</f>
        <v>928</v>
      </c>
      <c r="H136">
        <f t="shared" si="8"/>
        <v>0</v>
      </c>
      <c r="I136">
        <f t="shared" si="9"/>
        <v>-928</v>
      </c>
    </row>
    <row r="137" spans="1:12" x14ac:dyDescent="0.3">
      <c r="A137" s="3">
        <v>46194</v>
      </c>
      <c r="B137" s="3" t="str">
        <f>TEXT(Table1[[#This Row],[Date]],"mmm")</f>
        <v>Jun</v>
      </c>
      <c r="C137" t="s">
        <v>36</v>
      </c>
      <c r="D137" t="s">
        <v>41</v>
      </c>
      <c r="E137">
        <v>1337</v>
      </c>
      <c r="F137" t="s">
        <v>7</v>
      </c>
      <c r="G137">
        <f>SUMIF(Table1[[#This Row],[Type]],"Expense",Table1[[#This Row],[Amount]])</f>
        <v>1337</v>
      </c>
      <c r="H137">
        <f t="shared" si="8"/>
        <v>0</v>
      </c>
      <c r="I137">
        <f t="shared" si="9"/>
        <v>-1337</v>
      </c>
    </row>
    <row r="138" spans="1:12" x14ac:dyDescent="0.3">
      <c r="A138" s="3">
        <v>46195</v>
      </c>
      <c r="B138" s="3" t="str">
        <f>TEXT(Table1[[#This Row],[Date]],"mmm")</f>
        <v>Jun</v>
      </c>
      <c r="C138" t="s">
        <v>8</v>
      </c>
      <c r="D138" t="s">
        <v>31</v>
      </c>
      <c r="E138">
        <v>1331</v>
      </c>
      <c r="F138" t="s">
        <v>7</v>
      </c>
      <c r="G138">
        <f>SUMIF(Table1[[#This Row],[Type]],"Expense",Table1[[#This Row],[Amount]])</f>
        <v>1331</v>
      </c>
      <c r="H138">
        <f t="shared" si="8"/>
        <v>0</v>
      </c>
      <c r="I138">
        <f t="shared" si="9"/>
        <v>-1331</v>
      </c>
    </row>
    <row r="139" spans="1:12" x14ac:dyDescent="0.3">
      <c r="A139" s="3">
        <v>46196</v>
      </c>
      <c r="B139" s="3" t="str">
        <f>TEXT(Table1[[#This Row],[Date]],"mmm")</f>
        <v>Jun</v>
      </c>
      <c r="C139" t="s">
        <v>13</v>
      </c>
      <c r="D139" t="s">
        <v>14</v>
      </c>
      <c r="E139">
        <v>735</v>
      </c>
      <c r="F139" t="s">
        <v>7</v>
      </c>
      <c r="G139">
        <f>SUMIF(Table1[[#This Row],[Type]],"Expense",Table1[[#This Row],[Amount]])</f>
        <v>735</v>
      </c>
      <c r="H139">
        <f t="shared" si="8"/>
        <v>0</v>
      </c>
      <c r="I139">
        <f t="shared" si="9"/>
        <v>-735</v>
      </c>
    </row>
    <row r="140" spans="1:12" x14ac:dyDescent="0.3">
      <c r="A140" s="3">
        <v>46196</v>
      </c>
      <c r="B140" s="3" t="str">
        <f>TEXT(Table1[[#This Row],[Date]],"mmm")</f>
        <v>Jun</v>
      </c>
      <c r="C140" t="s">
        <v>36</v>
      </c>
      <c r="D140" t="s">
        <v>37</v>
      </c>
      <c r="E140">
        <v>4263</v>
      </c>
      <c r="F140" t="s">
        <v>7</v>
      </c>
      <c r="G140">
        <f>SUMIF(Table1[[#This Row],[Type]],"Expense",Table1[[#This Row],[Amount]])</f>
        <v>4263</v>
      </c>
      <c r="H140">
        <f t="shared" si="8"/>
        <v>0</v>
      </c>
      <c r="I140">
        <f t="shared" si="9"/>
        <v>-4263</v>
      </c>
    </row>
    <row r="141" spans="1:12" x14ac:dyDescent="0.3">
      <c r="A141" s="3">
        <v>46197</v>
      </c>
      <c r="B141" s="3" t="str">
        <f>TEXT(Table1[[#This Row],[Date]],"mmm")</f>
        <v>Jun</v>
      </c>
      <c r="C141" t="s">
        <v>18</v>
      </c>
      <c r="D141" t="s">
        <v>35</v>
      </c>
      <c r="E141">
        <v>4618</v>
      </c>
      <c r="F141" t="s">
        <v>7</v>
      </c>
      <c r="G141">
        <f>SUMIF(Table1[[#This Row],[Type]],"Expense",Table1[[#This Row],[Amount]])</f>
        <v>4618</v>
      </c>
      <c r="H141">
        <f t="shared" si="8"/>
        <v>0</v>
      </c>
      <c r="I141">
        <f t="shared" si="9"/>
        <v>-4618</v>
      </c>
    </row>
    <row r="142" spans="1:12" x14ac:dyDescent="0.3">
      <c r="A142" s="3">
        <v>46199</v>
      </c>
      <c r="B142" s="3" t="str">
        <f>TEXT(Table1[[#This Row],[Date]],"mmm")</f>
        <v>Jun</v>
      </c>
      <c r="C142" t="s">
        <v>5</v>
      </c>
      <c r="D142" t="s">
        <v>22</v>
      </c>
      <c r="E142">
        <v>1955</v>
      </c>
      <c r="F142" t="s">
        <v>7</v>
      </c>
      <c r="G142">
        <f>SUMIF(Table1[[#This Row],[Type]],"Expense",Table1[[#This Row],[Amount]])</f>
        <v>1955</v>
      </c>
      <c r="H142">
        <f t="shared" si="8"/>
        <v>0</v>
      </c>
      <c r="I142">
        <f t="shared" si="9"/>
        <v>-1955</v>
      </c>
    </row>
    <row r="143" spans="1:12" x14ac:dyDescent="0.3">
      <c r="A143" s="3">
        <v>46199</v>
      </c>
      <c r="B143" s="3" t="str">
        <f>TEXT(Table1[[#This Row],[Date]],"mmm")</f>
        <v>Jun</v>
      </c>
      <c r="C143" t="s">
        <v>13</v>
      </c>
      <c r="D143" t="s">
        <v>23</v>
      </c>
      <c r="E143">
        <v>2114</v>
      </c>
      <c r="F143" t="s">
        <v>7</v>
      </c>
      <c r="G143">
        <f>SUMIF(Table1[[#This Row],[Type]],"Expense",Table1[[#This Row],[Amount]])</f>
        <v>2114</v>
      </c>
      <c r="H143">
        <f t="shared" si="8"/>
        <v>0</v>
      </c>
      <c r="I143">
        <f t="shared" si="9"/>
        <v>-2114</v>
      </c>
      <c r="K143" s="10" t="s">
        <v>68</v>
      </c>
      <c r="L143" s="12">
        <f>L3/L1</f>
        <v>0.28974559633686686</v>
      </c>
    </row>
    <row r="144" spans="1:12" x14ac:dyDescent="0.3">
      <c r="A144" s="3">
        <v>46199</v>
      </c>
      <c r="B144" s="3" t="str">
        <f>TEXT(Table1[[#This Row],[Date]],"mmm")</f>
        <v>Jun</v>
      </c>
      <c r="C144" t="s">
        <v>8</v>
      </c>
      <c r="D144" t="s">
        <v>9</v>
      </c>
      <c r="E144">
        <v>4269</v>
      </c>
      <c r="F144" t="s">
        <v>7</v>
      </c>
      <c r="G144">
        <f>SUMIF(Table1[[#This Row],[Type]],"Expense",Table1[[#This Row],[Amount]])</f>
        <v>4269</v>
      </c>
      <c r="H144">
        <f t="shared" si="8"/>
        <v>0</v>
      </c>
      <c r="I144">
        <f t="shared" si="9"/>
        <v>-4269</v>
      </c>
      <c r="K144" s="10" t="s">
        <v>69</v>
      </c>
      <c r="L144" s="11">
        <f>AVERAGE(Table5[[#All],[Expenses]])</f>
        <v>1828.7950000000001</v>
      </c>
    </row>
    <row r="145" spans="1:9" x14ac:dyDescent="0.3">
      <c r="A145" s="3">
        <v>46200</v>
      </c>
      <c r="B145" s="3" t="str">
        <f>TEXT(Table1[[#This Row],[Date]],"mmm")</f>
        <v>Jun</v>
      </c>
      <c r="C145" t="s">
        <v>8</v>
      </c>
      <c r="D145" t="s">
        <v>9</v>
      </c>
      <c r="E145">
        <v>2541</v>
      </c>
      <c r="F145" t="s">
        <v>7</v>
      </c>
      <c r="G145">
        <f>SUMIF(Table1[[#This Row],[Type]],"Expense",Table1[[#This Row],[Amount]])</f>
        <v>2541</v>
      </c>
      <c r="H145">
        <f t="shared" si="8"/>
        <v>0</v>
      </c>
      <c r="I145">
        <f t="shared" si="9"/>
        <v>-2541</v>
      </c>
    </row>
    <row r="146" spans="1:9" x14ac:dyDescent="0.3">
      <c r="A146" s="3">
        <v>46200</v>
      </c>
      <c r="B146" s="3" t="str">
        <f>TEXT(Table1[[#This Row],[Date]],"mmm")</f>
        <v>Jun</v>
      </c>
      <c r="C146" t="s">
        <v>13</v>
      </c>
      <c r="D146" t="s">
        <v>14</v>
      </c>
      <c r="E146">
        <v>3829</v>
      </c>
      <c r="F146" t="s">
        <v>7</v>
      </c>
      <c r="G146">
        <f>SUMIF(Table1[[#This Row],[Type]],"Expense",Table1[[#This Row],[Amount]])</f>
        <v>3829</v>
      </c>
      <c r="H146">
        <f t="shared" si="8"/>
        <v>0</v>
      </c>
      <c r="I146">
        <f t="shared" si="9"/>
        <v>-3829</v>
      </c>
    </row>
    <row r="147" spans="1:9" x14ac:dyDescent="0.3">
      <c r="A147" s="3">
        <v>46200</v>
      </c>
      <c r="B147" s="3" t="str">
        <f>TEXT(Table1[[#This Row],[Date]],"mmm")</f>
        <v>Jun</v>
      </c>
      <c r="C147" t="s">
        <v>5</v>
      </c>
      <c r="D147" t="s">
        <v>22</v>
      </c>
      <c r="E147">
        <v>4846</v>
      </c>
      <c r="F147" t="s">
        <v>7</v>
      </c>
      <c r="G147">
        <f>SUMIF(Table1[[#This Row],[Type]],"Expense",Table1[[#This Row],[Amount]])</f>
        <v>4846</v>
      </c>
      <c r="H147">
        <f t="shared" si="8"/>
        <v>0</v>
      </c>
      <c r="I147">
        <f t="shared" si="9"/>
        <v>-4846</v>
      </c>
    </row>
    <row r="148" spans="1:9" x14ac:dyDescent="0.3">
      <c r="A148" s="3">
        <v>46200</v>
      </c>
      <c r="B148" s="3" t="str">
        <f>TEXT(Table1[[#This Row],[Date]],"mmm")</f>
        <v>Jun</v>
      </c>
      <c r="C148" t="s">
        <v>8</v>
      </c>
      <c r="D148" t="s">
        <v>9</v>
      </c>
      <c r="E148">
        <v>4329</v>
      </c>
      <c r="F148" t="s">
        <v>7</v>
      </c>
      <c r="G148">
        <f>SUMIF(Table1[[#This Row],[Type]],"Expense",Table1[[#This Row],[Amount]])</f>
        <v>4329</v>
      </c>
      <c r="H148">
        <f t="shared" si="8"/>
        <v>0</v>
      </c>
      <c r="I148">
        <f t="shared" si="9"/>
        <v>-4329</v>
      </c>
    </row>
    <row r="149" spans="1:9" x14ac:dyDescent="0.3">
      <c r="A149" s="3">
        <v>46201</v>
      </c>
      <c r="B149" s="3" t="str">
        <f>TEXT(Table1[[#This Row],[Date]],"mmm")</f>
        <v>Jun</v>
      </c>
      <c r="C149" t="s">
        <v>20</v>
      </c>
      <c r="D149" t="s">
        <v>24</v>
      </c>
      <c r="E149">
        <v>2122</v>
      </c>
      <c r="F149" t="s">
        <v>7</v>
      </c>
      <c r="G149">
        <f>SUMIF(Table1[[#This Row],[Type]],"Expense",Table1[[#This Row],[Amount]])</f>
        <v>2122</v>
      </c>
      <c r="H149">
        <f t="shared" si="8"/>
        <v>0</v>
      </c>
      <c r="I149">
        <f t="shared" si="9"/>
        <v>-2122</v>
      </c>
    </row>
    <row r="150" spans="1:9" x14ac:dyDescent="0.3">
      <c r="A150" s="3">
        <v>46202</v>
      </c>
      <c r="B150" s="3" t="str">
        <f>TEXT(Table1[[#This Row],[Date]],"mmm")</f>
        <v>Jun</v>
      </c>
      <c r="C150" t="s">
        <v>13</v>
      </c>
      <c r="D150" t="s">
        <v>14</v>
      </c>
      <c r="E150">
        <v>2877</v>
      </c>
      <c r="F150" t="s">
        <v>7</v>
      </c>
      <c r="G150">
        <f>SUMIF(Table1[[#This Row],[Type]],"Expense",Table1[[#This Row],[Amount]])</f>
        <v>2877</v>
      </c>
      <c r="H150">
        <f t="shared" si="8"/>
        <v>0</v>
      </c>
      <c r="I150">
        <f t="shared" si="9"/>
        <v>-2877</v>
      </c>
    </row>
    <row r="151" spans="1:9" x14ac:dyDescent="0.3">
      <c r="A151" s="3">
        <v>46202</v>
      </c>
      <c r="B151" s="3" t="str">
        <f>TEXT(Table1[[#This Row],[Date]],"mmm")</f>
        <v>Jun</v>
      </c>
      <c r="C151" t="s">
        <v>36</v>
      </c>
      <c r="D151" t="s">
        <v>41</v>
      </c>
      <c r="E151">
        <v>2630</v>
      </c>
      <c r="F151" t="s">
        <v>7</v>
      </c>
      <c r="G151">
        <f>SUMIF(Table1[[#This Row],[Type]],"Expense",Table1[[#This Row],[Amount]])</f>
        <v>2630</v>
      </c>
      <c r="H151">
        <f t="shared" si="8"/>
        <v>0</v>
      </c>
      <c r="I151">
        <f t="shared" si="9"/>
        <v>-2630</v>
      </c>
    </row>
    <row r="152" spans="1:9" x14ac:dyDescent="0.3">
      <c r="A152" s="3">
        <v>46204</v>
      </c>
      <c r="B152" s="3" t="str">
        <f>TEXT(Table1[[#This Row],[Date]],"mmm")</f>
        <v>Jul</v>
      </c>
      <c r="C152" t="s">
        <v>13</v>
      </c>
      <c r="D152" t="s">
        <v>23</v>
      </c>
      <c r="E152">
        <v>1731</v>
      </c>
      <c r="F152" t="s">
        <v>7</v>
      </c>
      <c r="G152">
        <f>SUMIF(Table1[[#This Row],[Type]],"Expense",Table1[[#This Row],[Amount]])</f>
        <v>1731</v>
      </c>
      <c r="H152">
        <f t="shared" si="8"/>
        <v>0</v>
      </c>
      <c r="I152">
        <f t="shared" si="9"/>
        <v>-1731</v>
      </c>
    </row>
    <row r="153" spans="1:9" x14ac:dyDescent="0.3">
      <c r="A153" s="3">
        <v>46205</v>
      </c>
      <c r="B153" s="3" t="str">
        <f>TEXT(Table1[[#This Row],[Date]],"mmm")</f>
        <v>Jul</v>
      </c>
      <c r="C153" t="s">
        <v>10</v>
      </c>
      <c r="D153" t="s">
        <v>28</v>
      </c>
      <c r="E153">
        <v>14738</v>
      </c>
      <c r="F153" t="s">
        <v>10</v>
      </c>
      <c r="G153">
        <f>SUMIF(Table1[[#This Row],[Type]],"Expense",Table1[[#This Row],[Amount]])</f>
        <v>0</v>
      </c>
      <c r="H153">
        <f t="shared" si="8"/>
        <v>14738</v>
      </c>
      <c r="I153">
        <f t="shared" si="9"/>
        <v>14738</v>
      </c>
    </row>
    <row r="154" spans="1:9" x14ac:dyDescent="0.3">
      <c r="A154" s="3">
        <v>46206</v>
      </c>
      <c r="B154" s="3" t="str">
        <f>TEXT(Table1[[#This Row],[Date]],"mmm")</f>
        <v>Jul</v>
      </c>
      <c r="C154" t="s">
        <v>10</v>
      </c>
      <c r="D154" t="s">
        <v>12</v>
      </c>
      <c r="E154">
        <v>19903</v>
      </c>
      <c r="F154" t="s">
        <v>10</v>
      </c>
      <c r="G154">
        <f>SUMIF(Table1[[#This Row],[Type]],"Expense",Table1[[#This Row],[Amount]])</f>
        <v>0</v>
      </c>
      <c r="H154">
        <f t="shared" si="8"/>
        <v>19903</v>
      </c>
      <c r="I154">
        <f t="shared" si="9"/>
        <v>19903</v>
      </c>
    </row>
    <row r="155" spans="1:9" x14ac:dyDescent="0.3">
      <c r="A155" s="3">
        <v>46207</v>
      </c>
      <c r="B155" s="3" t="str">
        <f>TEXT(Table1[[#This Row],[Date]],"mmm")</f>
        <v>Jul</v>
      </c>
      <c r="C155" t="s">
        <v>13</v>
      </c>
      <c r="D155" t="s">
        <v>23</v>
      </c>
      <c r="E155">
        <v>2916</v>
      </c>
      <c r="F155" t="s">
        <v>7</v>
      </c>
      <c r="G155">
        <f>SUMIF(Table1[[#This Row],[Type]],"Expense",Table1[[#This Row],[Amount]])</f>
        <v>2916</v>
      </c>
      <c r="H155">
        <f t="shared" si="8"/>
        <v>0</v>
      </c>
      <c r="I155">
        <f t="shared" si="9"/>
        <v>-2916</v>
      </c>
    </row>
    <row r="156" spans="1:9" x14ac:dyDescent="0.3">
      <c r="A156" s="3">
        <v>46207</v>
      </c>
      <c r="B156" s="3" t="str">
        <f>TEXT(Table1[[#This Row],[Date]],"mmm")</f>
        <v>Jul</v>
      </c>
      <c r="C156" t="s">
        <v>18</v>
      </c>
      <c r="D156" t="s">
        <v>19</v>
      </c>
      <c r="E156">
        <v>2400</v>
      </c>
      <c r="F156" t="s">
        <v>7</v>
      </c>
      <c r="G156">
        <f>SUMIF(Table1[[#This Row],[Type]],"Expense",Table1[[#This Row],[Amount]])</f>
        <v>2400</v>
      </c>
      <c r="H156">
        <f t="shared" si="8"/>
        <v>0</v>
      </c>
      <c r="I156">
        <f t="shared" si="9"/>
        <v>-2400</v>
      </c>
    </row>
    <row r="157" spans="1:9" x14ac:dyDescent="0.3">
      <c r="A157" s="3">
        <v>46209</v>
      </c>
      <c r="B157" s="3" t="str">
        <f>TEXT(Table1[[#This Row],[Date]],"mmm")</f>
        <v>Jul</v>
      </c>
      <c r="C157" t="s">
        <v>10</v>
      </c>
      <c r="D157" t="s">
        <v>11</v>
      </c>
      <c r="E157">
        <v>4944</v>
      </c>
      <c r="F157" t="s">
        <v>10</v>
      </c>
      <c r="G157">
        <f>SUMIF(Table1[[#This Row],[Type]],"Expense",Table1[[#This Row],[Amount]])</f>
        <v>0</v>
      </c>
      <c r="H157">
        <f t="shared" si="8"/>
        <v>4944</v>
      </c>
      <c r="I157">
        <f t="shared" si="9"/>
        <v>4944</v>
      </c>
    </row>
    <row r="158" spans="1:9" x14ac:dyDescent="0.3">
      <c r="A158" s="3">
        <v>46209</v>
      </c>
      <c r="B158" s="3" t="str">
        <f>TEXT(Table1[[#This Row],[Date]],"mmm")</f>
        <v>Jul</v>
      </c>
      <c r="C158" t="s">
        <v>18</v>
      </c>
      <c r="D158" t="s">
        <v>25</v>
      </c>
      <c r="E158">
        <v>552</v>
      </c>
      <c r="F158" t="s">
        <v>7</v>
      </c>
      <c r="G158">
        <f>SUMIF(Table1[[#This Row],[Type]],"Expense",Table1[[#This Row],[Amount]])</f>
        <v>552</v>
      </c>
      <c r="H158">
        <f t="shared" si="8"/>
        <v>0</v>
      </c>
      <c r="I158">
        <f t="shared" si="9"/>
        <v>-552</v>
      </c>
    </row>
    <row r="159" spans="1:9" x14ac:dyDescent="0.3">
      <c r="A159" s="3">
        <v>46235</v>
      </c>
      <c r="B159" s="3" t="str">
        <f>TEXT(Table1[[#This Row],[Date]],"mmm")</f>
        <v>Aug</v>
      </c>
      <c r="C159" t="s">
        <v>8</v>
      </c>
      <c r="D159" t="s">
        <v>9</v>
      </c>
      <c r="E159">
        <v>2342</v>
      </c>
      <c r="F159" t="s">
        <v>7</v>
      </c>
      <c r="G159">
        <f>SUMIF(Table1[[#This Row],[Type]],"Expense",Table1[[#This Row],[Amount]])</f>
        <v>2342</v>
      </c>
      <c r="H159">
        <f t="shared" si="8"/>
        <v>0</v>
      </c>
      <c r="I159">
        <f t="shared" si="9"/>
        <v>-2342</v>
      </c>
    </row>
    <row r="160" spans="1:9" x14ac:dyDescent="0.3">
      <c r="A160" s="3">
        <v>46235</v>
      </c>
      <c r="B160" s="3" t="str">
        <f>TEXT(Table1[[#This Row],[Date]],"mmm")</f>
        <v>Aug</v>
      </c>
      <c r="C160" t="s">
        <v>10</v>
      </c>
      <c r="D160" t="s">
        <v>11</v>
      </c>
      <c r="E160">
        <v>17850</v>
      </c>
      <c r="F160" t="s">
        <v>10</v>
      </c>
      <c r="G160">
        <f>SUMIF(Table1[[#This Row],[Type]],"Expense",Table1[[#This Row],[Amount]])</f>
        <v>0</v>
      </c>
      <c r="H160">
        <f t="shared" si="8"/>
        <v>17850</v>
      </c>
      <c r="I160">
        <f t="shared" si="9"/>
        <v>17850</v>
      </c>
    </row>
    <row r="161" spans="1:9" x14ac:dyDescent="0.3">
      <c r="A161" s="3">
        <v>46235</v>
      </c>
      <c r="B161" s="3" t="str">
        <f>TEXT(Table1[[#This Row],[Date]],"mmm")</f>
        <v>Aug</v>
      </c>
      <c r="C161" t="s">
        <v>18</v>
      </c>
      <c r="D161" t="s">
        <v>25</v>
      </c>
      <c r="E161">
        <v>2345</v>
      </c>
      <c r="F161" t="s">
        <v>7</v>
      </c>
      <c r="G161">
        <f>SUMIF(Table1[[#This Row],[Type]],"Expense",Table1[[#This Row],[Amount]])</f>
        <v>2345</v>
      </c>
      <c r="H161">
        <f t="shared" si="8"/>
        <v>0</v>
      </c>
      <c r="I161">
        <f t="shared" si="9"/>
        <v>-2345</v>
      </c>
    </row>
    <row r="162" spans="1:9" x14ac:dyDescent="0.3">
      <c r="A162" s="3">
        <v>46236</v>
      </c>
      <c r="B162" s="3" t="str">
        <f>TEXT(Table1[[#This Row],[Date]],"mmm")</f>
        <v>Aug</v>
      </c>
      <c r="C162" t="s">
        <v>5</v>
      </c>
      <c r="D162" t="s">
        <v>22</v>
      </c>
      <c r="E162">
        <v>1613</v>
      </c>
      <c r="F162" t="s">
        <v>7</v>
      </c>
      <c r="G162">
        <f>SUMIF(Table1[[#This Row],[Type]],"Expense",Table1[[#This Row],[Amount]])</f>
        <v>1613</v>
      </c>
      <c r="H162">
        <f t="shared" ref="H162:H193" si="10">SUMIF(F162,"Income",E162)</f>
        <v>0</v>
      </c>
      <c r="I162">
        <f t="shared" ref="I162:I193" si="11">H162-G162</f>
        <v>-1613</v>
      </c>
    </row>
    <row r="163" spans="1:9" x14ac:dyDescent="0.3">
      <c r="A163" s="3">
        <v>46237</v>
      </c>
      <c r="B163" s="3" t="str">
        <f>TEXT(Table1[[#This Row],[Date]],"mmm")</f>
        <v>Aug</v>
      </c>
      <c r="C163" t="s">
        <v>18</v>
      </c>
      <c r="D163" t="s">
        <v>25</v>
      </c>
      <c r="E163">
        <v>2723</v>
      </c>
      <c r="F163" t="s">
        <v>7</v>
      </c>
      <c r="G163">
        <f>SUMIF(Table1[[#This Row],[Type]],"Expense",Table1[[#This Row],[Amount]])</f>
        <v>2723</v>
      </c>
      <c r="H163">
        <f t="shared" si="10"/>
        <v>0</v>
      </c>
      <c r="I163">
        <f t="shared" si="11"/>
        <v>-2723</v>
      </c>
    </row>
    <row r="164" spans="1:9" x14ac:dyDescent="0.3">
      <c r="A164" s="3">
        <v>46237</v>
      </c>
      <c r="B164" s="3" t="str">
        <f>TEXT(Table1[[#This Row],[Date]],"mmm")</f>
        <v>Aug</v>
      </c>
      <c r="C164" t="s">
        <v>10</v>
      </c>
      <c r="D164" t="s">
        <v>28</v>
      </c>
      <c r="E164">
        <v>6296</v>
      </c>
      <c r="F164" t="s">
        <v>10</v>
      </c>
      <c r="G164">
        <f>SUMIF(Table1[[#This Row],[Type]],"Expense",Table1[[#This Row],[Amount]])</f>
        <v>0</v>
      </c>
      <c r="H164">
        <f t="shared" si="10"/>
        <v>6296</v>
      </c>
      <c r="I164">
        <f t="shared" si="11"/>
        <v>6296</v>
      </c>
    </row>
    <row r="165" spans="1:9" x14ac:dyDescent="0.3">
      <c r="A165" s="3">
        <v>46239</v>
      </c>
      <c r="B165" s="3" t="str">
        <f>TEXT(Table1[[#This Row],[Date]],"mmm")</f>
        <v>Aug</v>
      </c>
      <c r="C165" t="s">
        <v>15</v>
      </c>
      <c r="D165" t="s">
        <v>40</v>
      </c>
      <c r="E165">
        <v>683</v>
      </c>
      <c r="F165" t="s">
        <v>7</v>
      </c>
      <c r="G165">
        <f>SUMIF(Table1[[#This Row],[Type]],"Expense",Table1[[#This Row],[Amount]])</f>
        <v>683</v>
      </c>
      <c r="H165">
        <f t="shared" si="10"/>
        <v>0</v>
      </c>
      <c r="I165">
        <f t="shared" si="11"/>
        <v>-683</v>
      </c>
    </row>
    <row r="166" spans="1:9" x14ac:dyDescent="0.3">
      <c r="A166" s="3">
        <v>46239</v>
      </c>
      <c r="B166" s="3" t="str">
        <f>TEXT(Table1[[#This Row],[Date]],"mmm")</f>
        <v>Aug</v>
      </c>
      <c r="C166" t="s">
        <v>20</v>
      </c>
      <c r="D166" t="s">
        <v>24</v>
      </c>
      <c r="E166">
        <v>2480</v>
      </c>
      <c r="F166" t="s">
        <v>7</v>
      </c>
      <c r="G166">
        <f>SUMIF(Table1[[#This Row],[Type]],"Expense",Table1[[#This Row],[Amount]])</f>
        <v>2480</v>
      </c>
      <c r="H166">
        <f t="shared" si="10"/>
        <v>0</v>
      </c>
      <c r="I166">
        <f t="shared" si="11"/>
        <v>-2480</v>
      </c>
    </row>
    <row r="167" spans="1:9" x14ac:dyDescent="0.3">
      <c r="A167" s="3">
        <v>46239</v>
      </c>
      <c r="B167" s="3" t="str">
        <f>TEXT(Table1[[#This Row],[Date]],"mmm")</f>
        <v>Aug</v>
      </c>
      <c r="C167" t="s">
        <v>36</v>
      </c>
      <c r="D167" t="s">
        <v>38</v>
      </c>
      <c r="E167">
        <v>1326</v>
      </c>
      <c r="F167" t="s">
        <v>7</v>
      </c>
      <c r="G167">
        <f>SUMIF(Table1[[#This Row],[Type]],"Expense",Table1[[#This Row],[Amount]])</f>
        <v>1326</v>
      </c>
      <c r="H167">
        <f t="shared" si="10"/>
        <v>0</v>
      </c>
      <c r="I167">
        <f t="shared" si="11"/>
        <v>-1326</v>
      </c>
    </row>
    <row r="168" spans="1:9" x14ac:dyDescent="0.3">
      <c r="A168" s="3">
        <v>46266</v>
      </c>
      <c r="B168" s="3" t="str">
        <f>TEXT(Table1[[#This Row],[Date]],"mmm")</f>
        <v>Sep</v>
      </c>
      <c r="C168" t="s">
        <v>13</v>
      </c>
      <c r="D168" t="s">
        <v>30</v>
      </c>
      <c r="E168">
        <v>886</v>
      </c>
      <c r="F168" t="s">
        <v>7</v>
      </c>
      <c r="G168">
        <f>SUMIF(Table1[[#This Row],[Type]],"Expense",Table1[[#This Row],[Amount]])</f>
        <v>886</v>
      </c>
      <c r="H168">
        <f t="shared" si="10"/>
        <v>0</v>
      </c>
      <c r="I168">
        <f t="shared" si="11"/>
        <v>-886</v>
      </c>
    </row>
    <row r="169" spans="1:9" x14ac:dyDescent="0.3">
      <c r="A169" s="3">
        <v>46267</v>
      </c>
      <c r="B169" s="3" t="str">
        <f>TEXT(Table1[[#This Row],[Date]],"mmm")</f>
        <v>Sep</v>
      </c>
      <c r="C169" t="s">
        <v>18</v>
      </c>
      <c r="D169" t="s">
        <v>34</v>
      </c>
      <c r="E169">
        <v>2538</v>
      </c>
      <c r="F169" t="s">
        <v>7</v>
      </c>
      <c r="G169">
        <f>SUMIF(Table1[[#This Row],[Type]],"Expense",Table1[[#This Row],[Amount]])</f>
        <v>2538</v>
      </c>
      <c r="H169">
        <f t="shared" si="10"/>
        <v>0</v>
      </c>
      <c r="I169">
        <f t="shared" si="11"/>
        <v>-2538</v>
      </c>
    </row>
    <row r="170" spans="1:9" x14ac:dyDescent="0.3">
      <c r="A170" s="3">
        <v>46267</v>
      </c>
      <c r="B170" s="3" t="str">
        <f>TEXT(Table1[[#This Row],[Date]],"mmm")</f>
        <v>Sep</v>
      </c>
      <c r="C170" t="s">
        <v>10</v>
      </c>
      <c r="D170" t="s">
        <v>26</v>
      </c>
      <c r="E170">
        <v>13477</v>
      </c>
      <c r="F170" t="s">
        <v>10</v>
      </c>
      <c r="G170">
        <f>SUMIF(Table1[[#This Row],[Type]],"Expense",Table1[[#This Row],[Amount]])</f>
        <v>0</v>
      </c>
      <c r="H170">
        <f t="shared" si="10"/>
        <v>13477</v>
      </c>
      <c r="I170">
        <f t="shared" si="11"/>
        <v>13477</v>
      </c>
    </row>
    <row r="171" spans="1:9" x14ac:dyDescent="0.3">
      <c r="A171" s="3">
        <v>46267</v>
      </c>
      <c r="B171" s="3" t="str">
        <f>TEXT(Table1[[#This Row],[Date]],"mmm")</f>
        <v>Sep</v>
      </c>
      <c r="C171" t="s">
        <v>13</v>
      </c>
      <c r="D171" t="s">
        <v>14</v>
      </c>
      <c r="E171">
        <v>208</v>
      </c>
      <c r="F171" t="s">
        <v>7</v>
      </c>
      <c r="G171">
        <f>SUMIF(Table1[[#This Row],[Type]],"Expense",Table1[[#This Row],[Amount]])</f>
        <v>208</v>
      </c>
      <c r="H171">
        <f t="shared" si="10"/>
        <v>0</v>
      </c>
      <c r="I171">
        <f t="shared" si="11"/>
        <v>-208</v>
      </c>
    </row>
    <row r="172" spans="1:9" x14ac:dyDescent="0.3">
      <c r="A172" s="3">
        <v>46269</v>
      </c>
      <c r="B172" s="3" t="str">
        <f>TEXT(Table1[[#This Row],[Date]],"mmm")</f>
        <v>Sep</v>
      </c>
      <c r="C172" t="s">
        <v>13</v>
      </c>
      <c r="D172" t="s">
        <v>14</v>
      </c>
      <c r="E172">
        <v>3791</v>
      </c>
      <c r="F172" t="s">
        <v>7</v>
      </c>
      <c r="G172">
        <f>SUMIF(Table1[[#This Row],[Type]],"Expense",Table1[[#This Row],[Amount]])</f>
        <v>3791</v>
      </c>
      <c r="H172">
        <f t="shared" si="10"/>
        <v>0</v>
      </c>
      <c r="I172">
        <f t="shared" si="11"/>
        <v>-3791</v>
      </c>
    </row>
    <row r="173" spans="1:9" x14ac:dyDescent="0.3">
      <c r="A173" s="3">
        <v>46270</v>
      </c>
      <c r="B173" s="3" t="str">
        <f>TEXT(Table1[[#This Row],[Date]],"mmm")</f>
        <v>Sep</v>
      </c>
      <c r="C173" t="s">
        <v>10</v>
      </c>
      <c r="D173" t="s">
        <v>26</v>
      </c>
      <c r="E173">
        <v>18707</v>
      </c>
      <c r="F173" t="s">
        <v>10</v>
      </c>
      <c r="G173">
        <f>SUMIF(Table1[[#This Row],[Type]],"Expense",Table1[[#This Row],[Amount]])</f>
        <v>0</v>
      </c>
      <c r="H173">
        <f t="shared" si="10"/>
        <v>18707</v>
      </c>
      <c r="I173">
        <f t="shared" si="11"/>
        <v>18707</v>
      </c>
    </row>
    <row r="174" spans="1:9" x14ac:dyDescent="0.3">
      <c r="A174" s="3">
        <v>46270</v>
      </c>
      <c r="B174" s="3" t="str">
        <f>TEXT(Table1[[#This Row],[Date]],"mmm")</f>
        <v>Sep</v>
      </c>
      <c r="C174" t="s">
        <v>8</v>
      </c>
      <c r="D174" t="s">
        <v>31</v>
      </c>
      <c r="E174">
        <v>3401</v>
      </c>
      <c r="F174" t="s">
        <v>7</v>
      </c>
      <c r="G174">
        <f>SUMIF(Table1[[#This Row],[Type]],"Expense",Table1[[#This Row],[Amount]])</f>
        <v>3401</v>
      </c>
      <c r="H174">
        <f t="shared" si="10"/>
        <v>0</v>
      </c>
      <c r="I174">
        <f t="shared" si="11"/>
        <v>-3401</v>
      </c>
    </row>
    <row r="175" spans="1:9" x14ac:dyDescent="0.3">
      <c r="A175" s="3">
        <v>46271</v>
      </c>
      <c r="B175" s="3" t="str">
        <f>TEXT(Table1[[#This Row],[Date]],"mmm")</f>
        <v>Sep</v>
      </c>
      <c r="C175" t="s">
        <v>10</v>
      </c>
      <c r="D175" t="s">
        <v>12</v>
      </c>
      <c r="E175">
        <v>11158</v>
      </c>
      <c r="F175" t="s">
        <v>10</v>
      </c>
      <c r="G175">
        <f>SUMIF(Table1[[#This Row],[Type]],"Expense",Table1[[#This Row],[Amount]])</f>
        <v>0</v>
      </c>
      <c r="H175">
        <f t="shared" si="10"/>
        <v>11158</v>
      </c>
      <c r="I175">
        <f t="shared" si="11"/>
        <v>11158</v>
      </c>
    </row>
    <row r="176" spans="1:9" x14ac:dyDescent="0.3">
      <c r="A176" s="3">
        <v>46296</v>
      </c>
      <c r="B176" s="3" t="str">
        <f>TEXT(Table1[[#This Row],[Date]],"mmm")</f>
        <v>Oct</v>
      </c>
      <c r="C176" t="s">
        <v>20</v>
      </c>
      <c r="D176" t="s">
        <v>24</v>
      </c>
      <c r="E176">
        <v>1765</v>
      </c>
      <c r="F176" t="s">
        <v>7</v>
      </c>
      <c r="G176">
        <f>SUMIF(Table1[[#This Row],[Type]],"Expense",Table1[[#This Row],[Amount]])</f>
        <v>1765</v>
      </c>
      <c r="H176">
        <f t="shared" si="10"/>
        <v>0</v>
      </c>
      <c r="I176">
        <f t="shared" si="11"/>
        <v>-1765</v>
      </c>
    </row>
    <row r="177" spans="1:9" x14ac:dyDescent="0.3">
      <c r="A177" s="3">
        <v>46297</v>
      </c>
      <c r="B177" s="3" t="str">
        <f>TEXT(Table1[[#This Row],[Date]],"mmm")</f>
        <v>Oct</v>
      </c>
      <c r="C177" t="s">
        <v>13</v>
      </c>
      <c r="D177" t="s">
        <v>14</v>
      </c>
      <c r="E177">
        <v>4974</v>
      </c>
      <c r="F177" t="s">
        <v>7</v>
      </c>
      <c r="G177">
        <f>SUMIF(Table1[[#This Row],[Type]],"Expense",Table1[[#This Row],[Amount]])</f>
        <v>4974</v>
      </c>
      <c r="H177">
        <f t="shared" si="10"/>
        <v>0</v>
      </c>
      <c r="I177">
        <f t="shared" si="11"/>
        <v>-4974</v>
      </c>
    </row>
    <row r="178" spans="1:9" x14ac:dyDescent="0.3">
      <c r="A178" s="3">
        <v>46298</v>
      </c>
      <c r="B178" s="3" t="str">
        <f>TEXT(Table1[[#This Row],[Date]],"mmm")</f>
        <v>Oct</v>
      </c>
      <c r="C178" t="s">
        <v>20</v>
      </c>
      <c r="D178" t="s">
        <v>21</v>
      </c>
      <c r="E178">
        <v>1501</v>
      </c>
      <c r="F178" t="s">
        <v>7</v>
      </c>
      <c r="G178">
        <f>SUMIF(Table1[[#This Row],[Type]],"Expense",Table1[[#This Row],[Amount]])</f>
        <v>1501</v>
      </c>
      <c r="H178">
        <f t="shared" si="10"/>
        <v>0</v>
      </c>
      <c r="I178">
        <f t="shared" si="11"/>
        <v>-1501</v>
      </c>
    </row>
    <row r="179" spans="1:9" x14ac:dyDescent="0.3">
      <c r="A179" s="3">
        <v>46298</v>
      </c>
      <c r="B179" s="3" t="str">
        <f>TEXT(Table1[[#This Row],[Date]],"mmm")</f>
        <v>Oct</v>
      </c>
      <c r="C179" t="s">
        <v>8</v>
      </c>
      <c r="D179" t="s">
        <v>31</v>
      </c>
      <c r="E179">
        <v>3095</v>
      </c>
      <c r="F179" t="s">
        <v>7</v>
      </c>
      <c r="G179">
        <f>SUMIF(Table1[[#This Row],[Type]],"Expense",Table1[[#This Row],[Amount]])</f>
        <v>3095</v>
      </c>
      <c r="H179">
        <f t="shared" si="10"/>
        <v>0</v>
      </c>
      <c r="I179">
        <f t="shared" si="11"/>
        <v>-3095</v>
      </c>
    </row>
    <row r="180" spans="1:9" x14ac:dyDescent="0.3">
      <c r="A180" s="3">
        <v>46299</v>
      </c>
      <c r="B180" s="3" t="str">
        <f>TEXT(Table1[[#This Row],[Date]],"mmm")</f>
        <v>Oct</v>
      </c>
      <c r="C180" t="s">
        <v>10</v>
      </c>
      <c r="D180" t="s">
        <v>28</v>
      </c>
      <c r="E180">
        <v>16179</v>
      </c>
      <c r="F180" t="s">
        <v>10</v>
      </c>
      <c r="G180">
        <f>SUMIF(Table1[[#This Row],[Type]],"Expense",Table1[[#This Row],[Amount]])</f>
        <v>0</v>
      </c>
      <c r="H180">
        <f t="shared" si="10"/>
        <v>16179</v>
      </c>
      <c r="I180">
        <f t="shared" si="11"/>
        <v>16179</v>
      </c>
    </row>
    <row r="181" spans="1:9" x14ac:dyDescent="0.3">
      <c r="A181" s="3">
        <v>46299</v>
      </c>
      <c r="B181" s="3" t="str">
        <f>TEXT(Table1[[#This Row],[Date]],"mmm")</f>
        <v>Oct</v>
      </c>
      <c r="C181" t="s">
        <v>20</v>
      </c>
      <c r="D181" t="s">
        <v>33</v>
      </c>
      <c r="E181">
        <v>2323</v>
      </c>
      <c r="F181" t="s">
        <v>7</v>
      </c>
      <c r="G181">
        <f>SUMIF(Table1[[#This Row],[Type]],"Expense",Table1[[#This Row],[Amount]])</f>
        <v>2323</v>
      </c>
      <c r="H181">
        <f t="shared" si="10"/>
        <v>0</v>
      </c>
      <c r="I181">
        <f t="shared" si="11"/>
        <v>-2323</v>
      </c>
    </row>
    <row r="182" spans="1:9" x14ac:dyDescent="0.3">
      <c r="A182" s="3">
        <v>46299</v>
      </c>
      <c r="B182" s="3" t="str">
        <f>TEXT(Table1[[#This Row],[Date]],"mmm")</f>
        <v>Oct</v>
      </c>
      <c r="C182" t="s">
        <v>10</v>
      </c>
      <c r="D182" t="s">
        <v>11</v>
      </c>
      <c r="E182">
        <v>6306</v>
      </c>
      <c r="F182" t="s">
        <v>10</v>
      </c>
      <c r="G182">
        <f>SUMIF(Table1[[#This Row],[Type]],"Expense",Table1[[#This Row],[Amount]])</f>
        <v>0</v>
      </c>
      <c r="H182">
        <f t="shared" si="10"/>
        <v>6306</v>
      </c>
      <c r="I182">
        <f t="shared" si="11"/>
        <v>6306</v>
      </c>
    </row>
    <row r="183" spans="1:9" x14ac:dyDescent="0.3">
      <c r="A183" s="3">
        <v>46299</v>
      </c>
      <c r="B183" s="3" t="str">
        <f>TEXT(Table1[[#This Row],[Date]],"mmm")</f>
        <v>Oct</v>
      </c>
      <c r="C183" t="s">
        <v>36</v>
      </c>
      <c r="D183" t="s">
        <v>37</v>
      </c>
      <c r="E183">
        <v>3581</v>
      </c>
      <c r="F183" t="s">
        <v>7</v>
      </c>
      <c r="G183">
        <f>SUMIF(Table1[[#This Row],[Type]],"Expense",Table1[[#This Row],[Amount]])</f>
        <v>3581</v>
      </c>
      <c r="H183">
        <f t="shared" si="10"/>
        <v>0</v>
      </c>
      <c r="I183">
        <f t="shared" si="11"/>
        <v>-3581</v>
      </c>
    </row>
    <row r="184" spans="1:9" x14ac:dyDescent="0.3">
      <c r="A184" s="3">
        <v>46299</v>
      </c>
      <c r="B184" s="3" t="str">
        <f>TEXT(Table1[[#This Row],[Date]],"mmm")</f>
        <v>Oct</v>
      </c>
      <c r="C184" t="s">
        <v>5</v>
      </c>
      <c r="D184" t="s">
        <v>22</v>
      </c>
      <c r="E184">
        <v>2606</v>
      </c>
      <c r="F184" t="s">
        <v>7</v>
      </c>
      <c r="G184">
        <f>SUMIF(Table1[[#This Row],[Type]],"Expense",Table1[[#This Row],[Amount]])</f>
        <v>2606</v>
      </c>
      <c r="H184">
        <f t="shared" si="10"/>
        <v>0</v>
      </c>
      <c r="I184">
        <f t="shared" si="11"/>
        <v>-2606</v>
      </c>
    </row>
    <row r="185" spans="1:9" x14ac:dyDescent="0.3">
      <c r="A185" s="3">
        <v>46300</v>
      </c>
      <c r="B185" s="3" t="str">
        <f>TEXT(Table1[[#This Row],[Date]],"mmm")</f>
        <v>Oct</v>
      </c>
      <c r="C185" t="s">
        <v>18</v>
      </c>
      <c r="D185" t="s">
        <v>34</v>
      </c>
      <c r="E185">
        <v>3009</v>
      </c>
      <c r="F185" t="s">
        <v>7</v>
      </c>
      <c r="G185">
        <f>SUMIF(Table1[[#This Row],[Type]],"Expense",Table1[[#This Row],[Amount]])</f>
        <v>3009</v>
      </c>
      <c r="H185">
        <f t="shared" si="10"/>
        <v>0</v>
      </c>
      <c r="I185">
        <f t="shared" si="11"/>
        <v>-3009</v>
      </c>
    </row>
    <row r="186" spans="1:9" x14ac:dyDescent="0.3">
      <c r="A186" s="3">
        <v>46301</v>
      </c>
      <c r="B186" s="3" t="str">
        <f>TEXT(Table1[[#This Row],[Date]],"mmm")</f>
        <v>Oct</v>
      </c>
      <c r="C186" t="s">
        <v>15</v>
      </c>
      <c r="D186" t="s">
        <v>27</v>
      </c>
      <c r="E186">
        <v>1151</v>
      </c>
      <c r="F186" t="s">
        <v>7</v>
      </c>
      <c r="G186">
        <f>SUMIF(Table1[[#This Row],[Type]],"Expense",Table1[[#This Row],[Amount]])</f>
        <v>1151</v>
      </c>
      <c r="H186">
        <f t="shared" si="10"/>
        <v>0</v>
      </c>
      <c r="I186">
        <f t="shared" si="11"/>
        <v>-1151</v>
      </c>
    </row>
    <row r="187" spans="1:9" x14ac:dyDescent="0.3">
      <c r="A187" s="3">
        <v>46327</v>
      </c>
      <c r="B187" s="3" t="str">
        <f>TEXT(Table1[[#This Row],[Date]],"mmm")</f>
        <v>Nov</v>
      </c>
      <c r="C187" t="s">
        <v>18</v>
      </c>
      <c r="D187" t="s">
        <v>29</v>
      </c>
      <c r="E187">
        <v>3806</v>
      </c>
      <c r="F187" t="s">
        <v>7</v>
      </c>
      <c r="G187">
        <f>SUMIF(Table1[[#This Row],[Type]],"Expense",Table1[[#This Row],[Amount]])</f>
        <v>3806</v>
      </c>
      <c r="H187">
        <f t="shared" si="10"/>
        <v>0</v>
      </c>
      <c r="I187">
        <f t="shared" si="11"/>
        <v>-3806</v>
      </c>
    </row>
    <row r="188" spans="1:9" x14ac:dyDescent="0.3">
      <c r="A188" s="3">
        <v>46327</v>
      </c>
      <c r="B188" s="3" t="str">
        <f>TEXT(Table1[[#This Row],[Date]],"mmm")</f>
        <v>Nov</v>
      </c>
      <c r="C188" t="s">
        <v>13</v>
      </c>
      <c r="D188" t="s">
        <v>30</v>
      </c>
      <c r="E188">
        <v>2866</v>
      </c>
      <c r="F188" t="s">
        <v>7</v>
      </c>
      <c r="G188">
        <f>SUMIF(Table1[[#This Row],[Type]],"Expense",Table1[[#This Row],[Amount]])</f>
        <v>2866</v>
      </c>
      <c r="H188">
        <f t="shared" si="10"/>
        <v>0</v>
      </c>
      <c r="I188">
        <f t="shared" si="11"/>
        <v>-2866</v>
      </c>
    </row>
    <row r="189" spans="1:9" x14ac:dyDescent="0.3">
      <c r="A189" s="3">
        <v>46329</v>
      </c>
      <c r="B189" s="3" t="str">
        <f>TEXT(Table1[[#This Row],[Date]],"mmm")</f>
        <v>Nov</v>
      </c>
      <c r="C189" t="s">
        <v>10</v>
      </c>
      <c r="D189" t="s">
        <v>26</v>
      </c>
      <c r="E189">
        <v>14410</v>
      </c>
      <c r="F189" t="s">
        <v>10</v>
      </c>
      <c r="G189">
        <f>SUMIF(Table1[[#This Row],[Type]],"Expense",Table1[[#This Row],[Amount]])</f>
        <v>0</v>
      </c>
      <c r="H189">
        <f t="shared" si="10"/>
        <v>14410</v>
      </c>
      <c r="I189">
        <f t="shared" si="11"/>
        <v>14410</v>
      </c>
    </row>
    <row r="190" spans="1:9" x14ac:dyDescent="0.3">
      <c r="A190" s="3">
        <v>46329</v>
      </c>
      <c r="B190" s="3" t="str">
        <f>TEXT(Table1[[#This Row],[Date]],"mmm")</f>
        <v>Nov</v>
      </c>
      <c r="C190" t="s">
        <v>20</v>
      </c>
      <c r="D190" t="s">
        <v>24</v>
      </c>
      <c r="E190">
        <v>2179</v>
      </c>
      <c r="F190" t="s">
        <v>7</v>
      </c>
      <c r="G190">
        <f>SUMIF(Table1[[#This Row],[Type]],"Expense",Table1[[#This Row],[Amount]])</f>
        <v>2179</v>
      </c>
      <c r="H190">
        <f t="shared" si="10"/>
        <v>0</v>
      </c>
      <c r="I190">
        <f t="shared" si="11"/>
        <v>-2179</v>
      </c>
    </row>
    <row r="191" spans="1:9" x14ac:dyDescent="0.3">
      <c r="A191" s="3">
        <v>46331</v>
      </c>
      <c r="B191" s="3" t="str">
        <f>TEXT(Table1[[#This Row],[Date]],"mmm")</f>
        <v>Nov</v>
      </c>
      <c r="C191" t="s">
        <v>15</v>
      </c>
      <c r="D191" t="s">
        <v>27</v>
      </c>
      <c r="E191">
        <v>4853</v>
      </c>
      <c r="F191" t="s">
        <v>7</v>
      </c>
      <c r="G191">
        <f>SUMIF(Table1[[#This Row],[Type]],"Expense",Table1[[#This Row],[Amount]])</f>
        <v>4853</v>
      </c>
      <c r="H191">
        <f t="shared" si="10"/>
        <v>0</v>
      </c>
      <c r="I191">
        <f t="shared" si="11"/>
        <v>-4853</v>
      </c>
    </row>
    <row r="192" spans="1:9" x14ac:dyDescent="0.3">
      <c r="A192" s="3">
        <v>46331</v>
      </c>
      <c r="B192" s="3" t="str">
        <f>TEXT(Table1[[#This Row],[Date]],"mmm")</f>
        <v>Nov</v>
      </c>
      <c r="C192" t="s">
        <v>5</v>
      </c>
      <c r="D192" t="s">
        <v>22</v>
      </c>
      <c r="E192">
        <v>3158</v>
      </c>
      <c r="F192" t="s">
        <v>7</v>
      </c>
      <c r="G192">
        <f>SUMIF(Table1[[#This Row],[Type]],"Expense",Table1[[#This Row],[Amount]])</f>
        <v>3158</v>
      </c>
      <c r="H192">
        <f t="shared" si="10"/>
        <v>0</v>
      </c>
      <c r="I192">
        <f t="shared" si="11"/>
        <v>-3158</v>
      </c>
    </row>
    <row r="193" spans="1:9" x14ac:dyDescent="0.3">
      <c r="A193" s="3">
        <v>46331</v>
      </c>
      <c r="B193" s="3" t="str">
        <f>TEXT(Table1[[#This Row],[Date]],"mmm")</f>
        <v>Nov</v>
      </c>
      <c r="C193" t="s">
        <v>10</v>
      </c>
      <c r="D193" t="s">
        <v>26</v>
      </c>
      <c r="E193">
        <v>6776</v>
      </c>
      <c r="F193" t="s">
        <v>10</v>
      </c>
      <c r="G193">
        <f>SUMIF(Table1[[#This Row],[Type]],"Expense",Table1[[#This Row],[Amount]])</f>
        <v>0</v>
      </c>
      <c r="H193">
        <f t="shared" si="10"/>
        <v>6776</v>
      </c>
      <c r="I193">
        <f t="shared" si="11"/>
        <v>6776</v>
      </c>
    </row>
    <row r="194" spans="1:9" x14ac:dyDescent="0.3">
      <c r="A194" s="3">
        <v>46332</v>
      </c>
      <c r="B194" s="3" t="str">
        <f>TEXT(Table1[[#This Row],[Date]],"mmm")</f>
        <v>Nov</v>
      </c>
      <c r="C194" t="s">
        <v>15</v>
      </c>
      <c r="D194" t="s">
        <v>40</v>
      </c>
      <c r="E194">
        <v>1181</v>
      </c>
      <c r="F194" t="s">
        <v>7</v>
      </c>
      <c r="G194">
        <f>SUMIF(Table1[[#This Row],[Type]],"Expense",Table1[[#This Row],[Amount]])</f>
        <v>1181</v>
      </c>
      <c r="H194">
        <f t="shared" ref="H194:H201" si="12">SUMIF(F194,"Income",E194)</f>
        <v>0</v>
      </c>
      <c r="I194">
        <f t="shared" ref="I194:I201" si="13">H194-G194</f>
        <v>-1181</v>
      </c>
    </row>
    <row r="195" spans="1:9" x14ac:dyDescent="0.3">
      <c r="A195" s="3">
        <v>46357</v>
      </c>
      <c r="B195" s="3" t="str">
        <f>TEXT(Table1[[#This Row],[Date]],"mmm")</f>
        <v>Dec</v>
      </c>
      <c r="C195" t="s">
        <v>10</v>
      </c>
      <c r="D195" t="s">
        <v>17</v>
      </c>
      <c r="E195">
        <v>7561</v>
      </c>
      <c r="F195" t="s">
        <v>10</v>
      </c>
      <c r="G195">
        <f>SUMIF(Table1[[#This Row],[Type]],"Expense",Table1[[#This Row],[Amount]])</f>
        <v>0</v>
      </c>
      <c r="H195">
        <f t="shared" si="12"/>
        <v>7561</v>
      </c>
      <c r="I195">
        <f t="shared" si="13"/>
        <v>7561</v>
      </c>
    </row>
    <row r="196" spans="1:9" x14ac:dyDescent="0.3">
      <c r="A196" s="3">
        <v>46357</v>
      </c>
      <c r="B196" s="3" t="str">
        <f>TEXT(Table1[[#This Row],[Date]],"mmm")</f>
        <v>Dec</v>
      </c>
      <c r="C196" t="s">
        <v>13</v>
      </c>
      <c r="D196" t="s">
        <v>14</v>
      </c>
      <c r="E196">
        <v>2391</v>
      </c>
      <c r="F196" t="s">
        <v>7</v>
      </c>
      <c r="G196">
        <f>SUMIF(Table1[[#This Row],[Type]],"Expense",Table1[[#This Row],[Amount]])</f>
        <v>2391</v>
      </c>
      <c r="H196">
        <f t="shared" si="12"/>
        <v>0</v>
      </c>
      <c r="I196">
        <f t="shared" si="13"/>
        <v>-2391</v>
      </c>
    </row>
    <row r="197" spans="1:9" x14ac:dyDescent="0.3">
      <c r="A197" s="3">
        <v>46358</v>
      </c>
      <c r="B197" s="3" t="str">
        <f>TEXT(Table1[[#This Row],[Date]],"mmm")</f>
        <v>Dec</v>
      </c>
      <c r="C197" t="s">
        <v>15</v>
      </c>
      <c r="D197" t="s">
        <v>16</v>
      </c>
      <c r="E197">
        <v>585</v>
      </c>
      <c r="F197" t="s">
        <v>7</v>
      </c>
      <c r="G197">
        <f>SUMIF(Table1[[#This Row],[Type]],"Expense",Table1[[#This Row],[Amount]])</f>
        <v>585</v>
      </c>
      <c r="H197">
        <f t="shared" si="12"/>
        <v>0</v>
      </c>
      <c r="I197">
        <f t="shared" si="13"/>
        <v>-585</v>
      </c>
    </row>
    <row r="198" spans="1:9" x14ac:dyDescent="0.3">
      <c r="A198" s="3">
        <v>46359</v>
      </c>
      <c r="B198" s="3" t="str">
        <f>TEXT(Table1[[#This Row],[Date]],"mmm")</f>
        <v>Dec</v>
      </c>
      <c r="C198" t="s">
        <v>36</v>
      </c>
      <c r="D198" t="s">
        <v>42</v>
      </c>
      <c r="E198">
        <v>803</v>
      </c>
      <c r="F198" t="s">
        <v>7</v>
      </c>
      <c r="G198">
        <f>SUMIF(Table1[[#This Row],[Type]],"Expense",Table1[[#This Row],[Amount]])</f>
        <v>803</v>
      </c>
      <c r="H198">
        <f t="shared" si="12"/>
        <v>0</v>
      </c>
      <c r="I198">
        <f t="shared" si="13"/>
        <v>-803</v>
      </c>
    </row>
    <row r="199" spans="1:9" x14ac:dyDescent="0.3">
      <c r="A199" s="3">
        <v>46359</v>
      </c>
      <c r="B199" s="3" t="str">
        <f>TEXT(Table1[[#This Row],[Date]],"mmm")</f>
        <v>Dec</v>
      </c>
      <c r="C199" t="s">
        <v>18</v>
      </c>
      <c r="D199" t="s">
        <v>19</v>
      </c>
      <c r="E199">
        <v>4235</v>
      </c>
      <c r="F199" t="s">
        <v>7</v>
      </c>
      <c r="G199">
        <f>SUMIF(Table1[[#This Row],[Type]],"Expense",Table1[[#This Row],[Amount]])</f>
        <v>4235</v>
      </c>
      <c r="H199">
        <f t="shared" si="12"/>
        <v>0</v>
      </c>
      <c r="I199">
        <f t="shared" si="13"/>
        <v>-4235</v>
      </c>
    </row>
    <row r="200" spans="1:9" x14ac:dyDescent="0.3">
      <c r="A200" s="3">
        <v>46361</v>
      </c>
      <c r="B200" s="3" t="str">
        <f>TEXT(Table1[[#This Row],[Date]],"mmm")</f>
        <v>Dec</v>
      </c>
      <c r="C200" t="s">
        <v>20</v>
      </c>
      <c r="D200" t="s">
        <v>33</v>
      </c>
      <c r="E200">
        <v>1315</v>
      </c>
      <c r="F200" t="s">
        <v>7</v>
      </c>
      <c r="G200">
        <f>SUMIF(Table1[[#This Row],[Type]],"Expense",Table1[[#This Row],[Amount]])</f>
        <v>1315</v>
      </c>
      <c r="H200">
        <f t="shared" si="12"/>
        <v>0</v>
      </c>
      <c r="I200">
        <f t="shared" si="13"/>
        <v>-1315</v>
      </c>
    </row>
    <row r="201" spans="1:9" x14ac:dyDescent="0.3">
      <c r="A201" s="3">
        <v>46361</v>
      </c>
      <c r="B201" s="3" t="str">
        <f>TEXT(Table1[[#This Row],[Date]],"mmm")</f>
        <v>Dec</v>
      </c>
      <c r="C201" t="s">
        <v>10</v>
      </c>
      <c r="D201" t="s">
        <v>17</v>
      </c>
      <c r="E201">
        <v>2971</v>
      </c>
      <c r="F201" t="s">
        <v>10</v>
      </c>
      <c r="G201">
        <f>SUMIF(Table1[[#This Row],[Type]],"Expense",Table1[[#This Row],[Amount]])</f>
        <v>0</v>
      </c>
      <c r="H201">
        <f t="shared" si="12"/>
        <v>2971</v>
      </c>
      <c r="I201">
        <f t="shared" si="13"/>
        <v>2971</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2785-D676-4B67-BB14-EECA64F56517}">
  <sheetPr codeName="Sheet6"/>
  <dimension ref="A1:J19"/>
  <sheetViews>
    <sheetView workbookViewId="0">
      <selection activeCell="A4" sqref="A4:A10"/>
      <pivotSelection pane="bottomRight" showHeader="1" axis="axisRow" activeRow="3" previousRow="3" click="1" r:id="rId1">
        <pivotArea dataOnly="0" labelOnly="1" fieldPosition="0">
          <references count="1">
            <reference field="2" count="0"/>
          </references>
        </pivotArea>
      </pivotSelection>
    </sheetView>
  </sheetViews>
  <sheetFormatPr defaultRowHeight="14.4" x14ac:dyDescent="0.3"/>
  <cols>
    <col min="1" max="1" width="22.33203125" bestFit="1" customWidth="1"/>
    <col min="2" max="2" width="15.33203125" bestFit="1" customWidth="1"/>
    <col min="3" max="3" width="12.88671875" bestFit="1" customWidth="1"/>
    <col min="5" max="5" width="15.33203125" customWidth="1"/>
    <col min="6" max="6" width="21.5546875" bestFit="1" customWidth="1"/>
    <col min="7" max="8" width="15.33203125" bestFit="1" customWidth="1"/>
    <col min="9" max="9" width="22.33203125" bestFit="1" customWidth="1"/>
    <col min="10" max="10" width="14.44140625" bestFit="1" customWidth="1"/>
    <col min="11" max="11" width="15.5546875" bestFit="1" customWidth="1"/>
    <col min="12" max="12" width="15.33203125" bestFit="1" customWidth="1"/>
  </cols>
  <sheetData>
    <row r="1" spans="1:10" ht="18" x14ac:dyDescent="0.35">
      <c r="A1" s="1" t="s">
        <v>4</v>
      </c>
      <c r="B1" t="s">
        <v>7</v>
      </c>
      <c r="D1" s="13" t="s">
        <v>67</v>
      </c>
      <c r="E1" s="13"/>
      <c r="F1" s="13"/>
      <c r="G1" s="13"/>
      <c r="I1" s="13" t="s">
        <v>70</v>
      </c>
      <c r="J1" s="13"/>
    </row>
    <row r="2" spans="1:10" ht="18" x14ac:dyDescent="0.35">
      <c r="A2" s="13" t="s">
        <v>63</v>
      </c>
      <c r="B2" s="13"/>
      <c r="D2" s="1" t="s">
        <v>48</v>
      </c>
      <c r="E2" s="1" t="s">
        <v>49</v>
      </c>
      <c r="I2" s="1" t="s">
        <v>46</v>
      </c>
      <c r="J2" t="s">
        <v>66</v>
      </c>
    </row>
    <row r="3" spans="1:10" x14ac:dyDescent="0.3">
      <c r="A3" s="1" t="s">
        <v>46</v>
      </c>
      <c r="B3" t="s">
        <v>48</v>
      </c>
      <c r="D3" s="1" t="s">
        <v>46</v>
      </c>
      <c r="E3" t="s">
        <v>7</v>
      </c>
      <c r="F3" t="s">
        <v>10</v>
      </c>
      <c r="G3" t="s">
        <v>47</v>
      </c>
      <c r="I3" s="2" t="s">
        <v>51</v>
      </c>
      <c r="J3">
        <v>45608</v>
      </c>
    </row>
    <row r="4" spans="1:10" x14ac:dyDescent="0.3">
      <c r="A4" s="2" t="s">
        <v>36</v>
      </c>
      <c r="B4" s="4">
        <v>22853</v>
      </c>
      <c r="D4" s="2" t="s">
        <v>51</v>
      </c>
      <c r="E4" s="4">
        <v>54193</v>
      </c>
      <c r="F4" s="4">
        <v>99801</v>
      </c>
      <c r="G4" s="4">
        <v>153994</v>
      </c>
      <c r="I4" s="2" t="s">
        <v>52</v>
      </c>
      <c r="J4">
        <v>13662</v>
      </c>
    </row>
    <row r="5" spans="1:10" x14ac:dyDescent="0.3">
      <c r="A5" s="2" t="s">
        <v>5</v>
      </c>
      <c r="B5" s="4">
        <v>44419</v>
      </c>
      <c r="D5" s="2" t="s">
        <v>52</v>
      </c>
      <c r="E5" s="4">
        <v>38784</v>
      </c>
      <c r="F5" s="4">
        <v>52446</v>
      </c>
      <c r="G5" s="4">
        <v>91230</v>
      </c>
      <c r="I5" s="2" t="s">
        <v>53</v>
      </c>
      <c r="J5">
        <v>-3025</v>
      </c>
    </row>
    <row r="6" spans="1:10" x14ac:dyDescent="0.3">
      <c r="A6" s="2" t="s">
        <v>20</v>
      </c>
      <c r="B6" s="4">
        <v>46794</v>
      </c>
      <c r="D6" s="2" t="s">
        <v>53</v>
      </c>
      <c r="E6" s="4">
        <v>40504</v>
      </c>
      <c r="F6" s="4">
        <v>37479</v>
      </c>
      <c r="G6" s="4">
        <v>77983</v>
      </c>
      <c r="I6" s="2" t="s">
        <v>54</v>
      </c>
      <c r="J6">
        <v>40101</v>
      </c>
    </row>
    <row r="7" spans="1:10" x14ac:dyDescent="0.3">
      <c r="A7" s="2" t="s">
        <v>8</v>
      </c>
      <c r="B7" s="4">
        <v>54199</v>
      </c>
      <c r="D7" s="2" t="s">
        <v>54</v>
      </c>
      <c r="E7" s="4">
        <v>29851</v>
      </c>
      <c r="F7" s="4">
        <v>69952</v>
      </c>
      <c r="G7" s="4">
        <v>99803</v>
      </c>
      <c r="I7" s="2" t="s">
        <v>55</v>
      </c>
      <c r="J7">
        <v>19336</v>
      </c>
    </row>
    <row r="8" spans="1:10" x14ac:dyDescent="0.3">
      <c r="A8" s="2" t="s">
        <v>15</v>
      </c>
      <c r="B8" s="4">
        <v>61328</v>
      </c>
      <c r="D8" s="2" t="s">
        <v>55</v>
      </c>
      <c r="E8" s="4">
        <v>39732</v>
      </c>
      <c r="F8" s="4">
        <v>59068</v>
      </c>
      <c r="G8" s="4">
        <v>98800</v>
      </c>
      <c r="I8" s="2" t="s">
        <v>56</v>
      </c>
      <c r="J8">
        <v>-44436</v>
      </c>
    </row>
    <row r="9" spans="1:10" x14ac:dyDescent="0.3">
      <c r="A9" s="2" t="s">
        <v>18</v>
      </c>
      <c r="B9" s="4">
        <v>66034</v>
      </c>
      <c r="D9" s="2" t="s">
        <v>56</v>
      </c>
      <c r="E9" s="4">
        <v>79383</v>
      </c>
      <c r="F9" s="4">
        <v>34947</v>
      </c>
      <c r="G9" s="4">
        <v>114330</v>
      </c>
      <c r="I9" s="2" t="s">
        <v>57</v>
      </c>
      <c r="J9">
        <v>31986</v>
      </c>
    </row>
    <row r="10" spans="1:10" x14ac:dyDescent="0.3">
      <c r="A10" s="2" t="s">
        <v>13</v>
      </c>
      <c r="B10" s="4">
        <v>70132</v>
      </c>
      <c r="D10" s="2" t="s">
        <v>57</v>
      </c>
      <c r="E10" s="4">
        <v>7599</v>
      </c>
      <c r="F10" s="4">
        <v>39585</v>
      </c>
      <c r="G10" s="4">
        <v>47184</v>
      </c>
      <c r="I10" s="2" t="s">
        <v>58</v>
      </c>
      <c r="J10">
        <v>10634</v>
      </c>
    </row>
    <row r="11" spans="1:10" x14ac:dyDescent="0.3">
      <c r="A11" s="2" t="s">
        <v>47</v>
      </c>
      <c r="B11" s="4">
        <v>365759</v>
      </c>
      <c r="D11" s="2" t="s">
        <v>58</v>
      </c>
      <c r="E11" s="4">
        <v>13512</v>
      </c>
      <c r="F11" s="4">
        <v>24146</v>
      </c>
      <c r="G11" s="4">
        <v>37658</v>
      </c>
      <c r="I11" s="2" t="s">
        <v>59</v>
      </c>
      <c r="J11">
        <v>32518</v>
      </c>
    </row>
    <row r="12" spans="1:10" x14ac:dyDescent="0.3">
      <c r="D12" s="2" t="s">
        <v>59</v>
      </c>
      <c r="E12" s="4">
        <v>10824</v>
      </c>
      <c r="F12" s="4">
        <v>43342</v>
      </c>
      <c r="G12" s="4">
        <v>54166</v>
      </c>
      <c r="I12" s="2" t="s">
        <v>60</v>
      </c>
      <c r="J12">
        <v>-1520</v>
      </c>
    </row>
    <row r="13" spans="1:10" x14ac:dyDescent="0.3">
      <c r="D13" s="2" t="s">
        <v>60</v>
      </c>
      <c r="E13" s="4">
        <v>24005</v>
      </c>
      <c r="F13" s="4">
        <v>22485</v>
      </c>
      <c r="G13" s="4">
        <v>46490</v>
      </c>
      <c r="I13" s="2" t="s">
        <v>61</v>
      </c>
      <c r="J13">
        <v>10704</v>
      </c>
    </row>
    <row r="14" spans="1:10" x14ac:dyDescent="0.3">
      <c r="A14" s="1" t="s">
        <v>4</v>
      </c>
      <c r="B14" t="s">
        <v>10</v>
      </c>
      <c r="D14" s="2" t="s">
        <v>61</v>
      </c>
      <c r="E14" s="4">
        <v>18043</v>
      </c>
      <c r="F14" s="4">
        <v>21186</v>
      </c>
      <c r="G14" s="4">
        <v>39229</v>
      </c>
      <c r="I14" s="2" t="s">
        <v>62</v>
      </c>
      <c r="J14">
        <v>-6358</v>
      </c>
    </row>
    <row r="15" spans="1:10" ht="18" x14ac:dyDescent="0.35">
      <c r="A15" s="13" t="s">
        <v>10</v>
      </c>
      <c r="B15" s="13"/>
      <c r="D15" s="2" t="s">
        <v>62</v>
      </c>
      <c r="E15" s="4">
        <v>9329</v>
      </c>
      <c r="F15" s="4">
        <v>10532</v>
      </c>
      <c r="G15" s="4">
        <v>19861</v>
      </c>
      <c r="I15" s="2" t="s">
        <v>47</v>
      </c>
      <c r="J15">
        <v>149210</v>
      </c>
    </row>
    <row r="16" spans="1:10" x14ac:dyDescent="0.3">
      <c r="A16" s="1" t="s">
        <v>46</v>
      </c>
      <c r="B16" t="s">
        <v>48</v>
      </c>
      <c r="D16" s="2" t="s">
        <v>47</v>
      </c>
      <c r="E16" s="4">
        <v>365759</v>
      </c>
      <c r="F16" s="4">
        <v>514969</v>
      </c>
      <c r="G16" s="4">
        <v>880728</v>
      </c>
      <c r="I16" s="4"/>
    </row>
    <row r="17" spans="1:9" x14ac:dyDescent="0.3">
      <c r="A17" s="2" t="s">
        <v>10</v>
      </c>
      <c r="B17" s="4">
        <v>514969</v>
      </c>
      <c r="I17" s="4"/>
    </row>
    <row r="18" spans="1:9" x14ac:dyDescent="0.3">
      <c r="A18" s="2" t="s">
        <v>47</v>
      </c>
      <c r="B18" s="4">
        <v>514969</v>
      </c>
      <c r="I18" s="4"/>
    </row>
    <row r="19" spans="1:9" x14ac:dyDescent="0.3">
      <c r="I19" s="4"/>
    </row>
  </sheetData>
  <mergeCells count="4">
    <mergeCell ref="D1:G1"/>
    <mergeCell ref="A2:B2"/>
    <mergeCell ref="A15:B15"/>
    <mergeCell ref="I1:J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8261-6116-4512-9F5E-E6D74ACCBE1B}">
  <dimension ref="A1"/>
  <sheetViews>
    <sheetView showGridLines="0" tabSelected="1" topLeftCell="A3" zoomScale="82" zoomScaleNormal="82" workbookViewId="0">
      <selection activeCell="V28" sqref="V2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TECNO</cp:lastModifiedBy>
  <dcterms:created xsi:type="dcterms:W3CDTF">2026-05-12T05:51:16Z</dcterms:created>
  <dcterms:modified xsi:type="dcterms:W3CDTF">2026-05-27T09:03:38Z</dcterms:modified>
</cp:coreProperties>
</file>